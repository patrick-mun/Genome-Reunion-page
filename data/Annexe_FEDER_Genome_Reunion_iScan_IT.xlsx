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S:\GENETIQUE\GENETIQUE MOLECULAIRE\DEVELOPPEMENTS\Dossier genome 20240909\FEDER\"/>
    </mc:Choice>
  </mc:AlternateContent>
  <xr:revisionPtr revIDLastSave="0" documentId="8_{A31A6491-12D6-4BED-95D0-BF41EEF01F24}" xr6:coauthVersionLast="47" xr6:coauthVersionMax="47" xr10:uidLastSave="{00000000-0000-0000-0000-000000000000}"/>
  <bookViews>
    <workbookView xWindow="-120" yWindow="-120" windowWidth="29040" windowHeight="15720" xr2:uid="{00000000-000D-0000-FFFF-FFFF00000000}"/>
  </bookViews>
  <sheets>
    <sheet name="NOTICE" sheetId="1" r:id="rId1"/>
    <sheet name="1.2-Fiche demande INTERREG" sheetId="2" r:id="rId2"/>
    <sheet name="4-Budget prev." sheetId="3" r:id="rId3"/>
    <sheet name="5-Coûts Personnels DIRECTS" sheetId="4" r:id="rId4"/>
    <sheet name="8-Liste devis" sheetId="5" r:id="rId5"/>
    <sheet name="10-Publicité UE" sheetId="6" r:id="rId6"/>
    <sheet name="11-Pièces à joindre" sheetId="7" r:id="rId7"/>
    <sheet name="Liste" sheetId="8" r:id="rId8"/>
    <sheet name="Synthèse FEDER"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 i="4" l="1"/>
  <c r="I7" i="4"/>
  <c r="I6" i="4"/>
  <c r="I5" i="4"/>
  <c r="C18" i="3"/>
  <c r="H17" i="3"/>
  <c r="H16" i="3"/>
  <c r="H15" i="3"/>
  <c r="G14" i="3"/>
  <c r="G18" i="3" s="1"/>
  <c r="H13" i="3"/>
  <c r="G12" i="3"/>
  <c r="F12" i="3"/>
  <c r="F14" i="3" s="1"/>
  <c r="F18" i="3" s="1"/>
  <c r="E12" i="3"/>
  <c r="E14" i="3" s="1"/>
  <c r="E18" i="3" s="1"/>
  <c r="D12" i="3"/>
  <c r="D14" i="3" s="1"/>
  <c r="H11" i="3"/>
  <c r="H10" i="3"/>
  <c r="H9" i="3"/>
  <c r="H8" i="3"/>
  <c r="H7" i="3"/>
  <c r="H6" i="3"/>
  <c r="H5" i="3"/>
  <c r="H12" i="3" s="1"/>
  <c r="H4" i="3"/>
  <c r="D18" i="3" l="1"/>
  <c r="H14" i="3"/>
  <c r="H18" i="3" s="1"/>
  <c r="H24" i="3" l="1"/>
  <c r="H23" i="3"/>
  <c r="H26" i="3" s="1"/>
  <c r="H20" i="3"/>
</calcChain>
</file>

<file path=xl/sharedStrings.xml><?xml version="1.0" encoding="utf-8"?>
<sst xmlns="http://schemas.openxmlformats.org/spreadsheetml/2006/main" count="307" uniqueCount="261">
  <si>
    <t>ANNEXE COMPLEMENT A LA DEMANDE DE SUBVENTION</t>
  </si>
  <si>
    <t>Cette annexe est composée des 12 onglets suivants :</t>
  </si>
  <si>
    <t xml:space="preserve">Notice : </t>
  </si>
  <si>
    <r>
      <t xml:space="preserve">1.1 : la fiche de demande de subvention pour un </t>
    </r>
    <r>
      <rPr>
        <b/>
        <sz val="12"/>
        <color theme="1"/>
        <rFont val="Arial"/>
        <family val="2"/>
      </rPr>
      <t>projet FEDER</t>
    </r>
  </si>
  <si>
    <t>Cette fiche est à télécharger, lire et signer. 
Vous devez ensuite la téléverser à l'onglet 7 du formulaire de demande de subvention "pièces justificatives" sur le portail.</t>
  </si>
  <si>
    <r>
      <t xml:space="preserve">1.2 : la fiche de demande de subvention pour un </t>
    </r>
    <r>
      <rPr>
        <b/>
        <sz val="12"/>
        <color theme="1"/>
        <rFont val="Arial"/>
        <family val="2"/>
      </rPr>
      <t>projet INTERREG</t>
    </r>
  </si>
  <si>
    <t>2 : les données comptables</t>
  </si>
  <si>
    <t>A compléter</t>
  </si>
  <si>
    <r>
      <rPr>
        <b/>
        <sz val="12"/>
        <color theme="1"/>
        <rFont val="Arial"/>
        <family val="2"/>
      </rPr>
      <t xml:space="preserve">Ces onglets n'ont pas à être imprimé et signé. </t>
    </r>
    <r>
      <rPr>
        <sz val="12"/>
        <color theme="1"/>
        <rFont val="Arial"/>
        <family val="2"/>
      </rPr>
      <t xml:space="preserve">
Vous devez compléter les onglets vous concernant et téléverser l'ensemble du tableur à l'onglet 7 du formulaire de demande de subvention 'pièces justificatives" sur le portail.</t>
    </r>
  </si>
  <si>
    <t>3 : les aides obtenues et sollicitées</t>
  </si>
  <si>
    <t>4 : budget prévisionnel</t>
  </si>
  <si>
    <t>5 : les informations en cas de recours à la défiscalisation</t>
  </si>
  <si>
    <t>A compléter le cas échéant</t>
  </si>
  <si>
    <t>6 : les informations si vous êtes une grande entreprise (au sens communautaire)</t>
  </si>
  <si>
    <t>7 : les compléments liées à la stratégie de l'entreprise</t>
  </si>
  <si>
    <t>8 : liste des devis comparatifs</t>
  </si>
  <si>
    <t>9 : crédit impôt recherche</t>
  </si>
  <si>
    <t>A compléter et signer (le cas échéant).
Vous devez ensuite la téléverser à l'onglet 7 du formulaire de demande de subvention "pièces justificatives" sur le portail.</t>
  </si>
  <si>
    <t>10 : règles relatives aux obligations de publicité sur l'intervention des fonds européens</t>
  </si>
  <si>
    <r>
      <rPr>
        <b/>
        <sz val="12"/>
        <color theme="1"/>
        <rFont val="Arial"/>
        <family val="2"/>
      </rPr>
      <t>Pour un projet FEDER :</t>
    </r>
    <r>
      <rPr>
        <sz val="12"/>
        <color theme="1"/>
        <rFont val="Arial"/>
        <family val="2"/>
      </rPr>
      <t xml:space="preserve">
Fiche publicité disponible sur le site internet de la Région Réunion : FEDER 2021-2027- Partie "guide du bénéficiaire" (cf. "fiche publicité FEDER")
&gt; https://regionreunion.com/actualite/toute-l-actualite/article/votre-projet-feder-2021-2027</t>
    </r>
  </si>
  <si>
    <r>
      <rPr>
        <b/>
        <sz val="12"/>
        <color theme="1"/>
        <rFont val="Arial"/>
        <family val="2"/>
      </rPr>
      <t>Pour un projet INTERREG :</t>
    </r>
    <r>
      <rPr>
        <sz val="12"/>
        <color theme="1"/>
        <rFont val="Arial"/>
        <family val="2"/>
      </rPr>
      <t xml:space="preserve">
Fiche publicité disponible sur le site internet de la Région Réunion : INTERREG 2021-2027- Partie "guide du bénéficiaire"
&gt; https://regionreunion.com/aides-services/article/votre-projet-interreg-vi-2021-2027</t>
    </r>
  </si>
  <si>
    <t>11 : la liste des pièces à joindre pour la complétude de votre demande</t>
  </si>
  <si>
    <t>Rappel :</t>
  </si>
  <si>
    <r>
      <rPr>
        <b/>
        <sz val="10"/>
        <color rgb="FF000000"/>
        <rFont val="Arial"/>
        <family val="2"/>
      </rPr>
      <t xml:space="preserve">En cas de dépenses réalisées via des marchés publics : 
</t>
    </r>
    <r>
      <rPr>
        <b/>
        <i/>
        <sz val="10"/>
        <color rgb="FF000000"/>
        <rFont val="Arial"/>
        <family val="2"/>
      </rPr>
      <t>(courrier circulaire de l'autorité de gestion du 22 juin 2021 et grilles de contrôle se trouvant sur le site internet de la Région)</t>
    </r>
  </si>
  <si>
    <t>"Afin de pouvoir répondre au mieux aux exigences mises en place au niveau européen au titre de la gestion des fonds structurels, je vous informe que les services instructeurs demanderont que ces dossiers comportent pour chaque Marché Public sous-jacent aux dépenses de l’opération, la «check-list Marché Public» complétée par le porteur de projet, accompagnées des pièces justificatives."</t>
  </si>
  <si>
    <r>
      <rPr>
        <b/>
        <sz val="10"/>
        <color theme="1"/>
        <rFont val="Arial"/>
        <family val="2"/>
      </rPr>
      <t xml:space="preserve">J’atteste sur l'honneur : </t>
    </r>
    <r>
      <rPr>
        <sz val="10"/>
        <color theme="1"/>
        <rFont val="Arial"/>
        <family val="2"/>
      </rPr>
      <t xml:space="preserve">
&gt; l’exactitude des renseignements de la demande d’aide ;
&gt; la régularité de la situation fiscale et sociale de la structure ;
&gt; que le projet n’est pas achevé ou totalement mis en œuvre au moment du dépôt de la demande d’aide ;
&gt; au cas où l’opération a commencé avant la présentation de la demande de financement, que le droit applicable a été respecté ;
&gt; ne pas avoir sollicité d’autres ressources publiques et privées que celles indiquées dans le présent dossier ;
&gt; ne pas avoir sollicité d’autres fonds ou programmes européens pour financer les dépenses de cette opération ;
&gt; avoir la capacité administrative et financière suffisante pour réaliser et suivre l’opération dans les délais prévus ;
&gt; ne pas être considéré comme une entreprise en difficulté au regard de la réglementation européenne des aides d’État (procédure de sauvegarde sans plan de continuité, liquidation…) ;
&gt; qu'à ce stade, aucun élément d’information ne me permet de considérer qu’il existe un risque potentiel de conflit d’intérêts entre les différentes parties prenant part à la mise en œuvre de ce projet ;
&gt; pour un dossier relevant des Aides d’Etat, ne pas avoir commencé les travaux liés à mon projet ou contracter un quelconque engagement rendant la réalisation de mon projet irréversible avant le dépôt de ma demande.</t>
    </r>
  </si>
  <si>
    <r>
      <rPr>
        <b/>
        <sz val="10"/>
        <color theme="1"/>
        <rFont val="Arial"/>
        <family val="2"/>
      </rPr>
      <t>J’ai pris connaissance des obligations du porteur de projet et m’engage à les respecter en cas d’octroi de l’aide :</t>
    </r>
    <r>
      <rPr>
        <sz val="10"/>
        <color theme="1"/>
        <rFont val="Arial"/>
        <family val="2"/>
      </rPr>
      <t xml:space="preserve">
</t>
    </r>
    <r>
      <rPr>
        <b/>
        <sz val="10"/>
        <color theme="1"/>
        <rFont val="Arial"/>
        <family val="2"/>
      </rPr>
      <t xml:space="preserve">1. </t>
    </r>
    <r>
      <rPr>
        <sz val="10"/>
        <color theme="1"/>
        <rFont val="Arial"/>
        <family val="2"/>
      </rPr>
      <t xml:space="preserve">Informer le service instructeur du début d’exécution effective du projet,
</t>
    </r>
    <r>
      <rPr>
        <b/>
        <sz val="10"/>
        <color theme="1"/>
        <rFont val="Arial"/>
        <family val="2"/>
      </rPr>
      <t xml:space="preserve">2. </t>
    </r>
    <r>
      <rPr>
        <sz val="10"/>
        <color theme="1"/>
        <rFont val="Arial"/>
        <family val="2"/>
      </rPr>
      <t xml:space="preserve">Respecter les dispositions de la Fiche Action / Appel à Projet / Appel à Manifestation d'Intérêt applicable(s),
</t>
    </r>
    <r>
      <rPr>
        <b/>
        <sz val="10"/>
        <color theme="1"/>
        <rFont val="Arial"/>
        <family val="2"/>
      </rPr>
      <t xml:space="preserve">3. </t>
    </r>
    <r>
      <rPr>
        <sz val="10"/>
        <color theme="1"/>
        <rFont val="Arial"/>
        <family val="2"/>
      </rPr>
      <t xml:space="preserve">Respecter les engagements de réalisation de l’opération,
</t>
    </r>
    <r>
      <rPr>
        <b/>
        <sz val="10"/>
        <color theme="1"/>
        <rFont val="Arial"/>
        <family val="2"/>
      </rPr>
      <t xml:space="preserve">4. </t>
    </r>
    <r>
      <rPr>
        <sz val="10"/>
        <color theme="1"/>
        <rFont val="Arial"/>
        <family val="2"/>
      </rPr>
      <t xml:space="preserve">Transmettre toute pièce complémentaire jugée utile pour instruire la demande de subvention et suivre la réalisation du projet ;
</t>
    </r>
    <r>
      <rPr>
        <b/>
        <sz val="10"/>
        <color theme="1"/>
        <rFont val="Arial"/>
        <family val="2"/>
      </rPr>
      <t xml:space="preserve">5. </t>
    </r>
    <r>
      <rPr>
        <sz val="10"/>
        <color theme="1"/>
        <rFont val="Arial"/>
        <family val="2"/>
      </rPr>
      <t xml:space="preserve">Informer, sans délai, le service instructeur en cas de modification du projet (ex : en particulier concernant la période d’exécution, les éventuels retards, localisation du projet, engagements financiers, …) y compris en cas de changement de ma situation (fiscale, sociale, ...) et de ma raison sociale, etc ;
</t>
    </r>
    <r>
      <rPr>
        <b/>
        <sz val="10"/>
        <color theme="1"/>
        <rFont val="Arial"/>
        <family val="2"/>
      </rPr>
      <t xml:space="preserve">6. </t>
    </r>
    <r>
      <rPr>
        <sz val="10"/>
        <color theme="1"/>
        <rFont val="Arial"/>
        <family val="2"/>
      </rPr>
      <t xml:space="preserve">Ne pas apporter de modification importante affectant la nature, les objectifs ou les conditions de mise en œuvre du projet, ou d’opérer un changement de propriété du bien cofinancé le cas échéant, ou délocaliser l’activité productive cofinancée le cas échéant en dehors de la zone couverte par le programme ;
</t>
    </r>
    <r>
      <rPr>
        <b/>
        <sz val="10"/>
        <color theme="1"/>
        <rFont val="Arial"/>
        <family val="2"/>
      </rPr>
      <t xml:space="preserve">7. </t>
    </r>
    <r>
      <rPr>
        <sz val="10"/>
        <color theme="1"/>
        <rFont val="Arial"/>
        <family val="2"/>
      </rPr>
      <t xml:space="preserve">Informer le service instructeur de toute circonstance exceptionnelle rendant la mise en œuvre impossible ou excessivement difficile de l'opération ;
</t>
    </r>
    <r>
      <rPr>
        <b/>
        <sz val="10"/>
        <color theme="1"/>
        <rFont val="Arial"/>
        <family val="2"/>
      </rPr>
      <t xml:space="preserve">8. </t>
    </r>
    <r>
      <rPr>
        <sz val="10"/>
        <color theme="1"/>
        <rFont val="Arial"/>
        <family val="2"/>
      </rPr>
      <t xml:space="preserve">Tenir une comptabilité séparée, ou utiliser un code comptable adéquat pour tracer les mouvements comptables en dépenses et en ressources liées au projet (Hors cas d’une opération intégralement couverte par une option de coût simplifié (OCS)) ;
</t>
    </r>
    <r>
      <rPr>
        <b/>
        <sz val="10"/>
        <color theme="1"/>
        <rFont val="Arial"/>
        <family val="2"/>
      </rPr>
      <t xml:space="preserve">9. </t>
    </r>
    <r>
      <rPr>
        <sz val="10"/>
        <color theme="1"/>
        <rFont val="Arial"/>
        <family val="2"/>
      </rPr>
      <t xml:space="preserve">Conserver toutes les pièces du dossier pendant une période de 5 ans à compter du 31 décembre de l’année au cours de laquelle a été réalisé le dernier paiement de l’aide octroyée (et 10 ans à compter de l’octroi de l’aide pour entreprises relevant des aides d’Etats) ;
</t>
    </r>
    <r>
      <rPr>
        <b/>
        <sz val="10"/>
        <color theme="1"/>
        <rFont val="Arial"/>
        <family val="2"/>
      </rPr>
      <t>10.</t>
    </r>
    <r>
      <rPr>
        <sz val="10"/>
        <color theme="1"/>
        <rFont val="Arial"/>
        <family val="2"/>
      </rPr>
      <t xml:space="preserve">	 Me soumettre à tout contrôle technique, administratif et financier, sur pièces et sur place, y compris au sein de ma comptabilité, effectué par le service instructeur ou toute autre instance nationale ou européenne habilitée durant toute la période comprise entre la date de début de réalisation et la date de fin de conservation des pièces, (Pour le cas d’une opération intégralement couverte par une option de coût simplifié (OCS), le contrôle ne se fera pas au sein de la comptabilité) ;
</t>
    </r>
    <r>
      <rPr>
        <b/>
        <sz val="10"/>
        <color theme="1"/>
        <rFont val="Arial"/>
        <family val="2"/>
      </rPr>
      <t>11.</t>
    </r>
    <r>
      <rPr>
        <sz val="10"/>
        <color theme="1"/>
        <rFont val="Arial"/>
        <family val="2"/>
      </rPr>
      <t xml:space="preserve">	 Mettre à la disposition du service instructeur et/ou des personnes dûment mandatées tout document, information, données relatives aux indicateurs permettant de rendre compte des conditions d’exécution de l’opération et des conditions de mise en œuvre du programme en vue de son évaluation, notamment les résultats de l’opération qui s’apprécient au-delà la période de sa réalisation, définie au point 9 ;
</t>
    </r>
    <r>
      <rPr>
        <b/>
        <sz val="10"/>
        <color theme="1"/>
        <rFont val="Arial"/>
        <family val="2"/>
      </rPr>
      <t>12.</t>
    </r>
    <r>
      <rPr>
        <sz val="10"/>
        <color theme="1"/>
        <rFont val="Arial"/>
        <family val="2"/>
      </rPr>
      <t xml:space="preserve">	 Assurer les échanges d’informations avec l’Autorité de gestion de manière dématérialisée ;
</t>
    </r>
    <r>
      <rPr>
        <b/>
        <sz val="10"/>
        <color theme="1"/>
        <rFont val="Arial"/>
        <family val="2"/>
      </rPr>
      <t>13.</t>
    </r>
    <r>
      <rPr>
        <sz val="10"/>
        <color theme="1"/>
        <rFont val="Arial"/>
        <family val="2"/>
      </rPr>
      <t xml:space="preserve">	 Mettre en œuvre les actions de publicité et d’information sur le cofinancement de l’Union européenne conformément à l’annexe jointe au dossier ;
</t>
    </r>
    <r>
      <rPr>
        <b/>
        <sz val="10"/>
        <color theme="1"/>
        <rFont val="Arial"/>
        <family val="2"/>
      </rPr>
      <t>14.</t>
    </r>
    <r>
      <rPr>
        <sz val="10"/>
        <color theme="1"/>
        <rFont val="Arial"/>
        <family val="2"/>
      </rPr>
      <t xml:space="preserve">	 Prendre en compte et promouvoir l'égalité femmes-hommes, l’égalité des chances, la non-discrimination et le développement durable conformément aux objectifs de l’Union dans le domaine de l’environnement tout au long de la mise en œuvre de l’opération ;</t>
    </r>
    <r>
      <rPr>
        <b/>
        <sz val="10"/>
        <color theme="1"/>
        <rFont val="Arial"/>
        <family val="2"/>
      </rPr>
      <t xml:space="preserve">
15.</t>
    </r>
    <r>
      <rPr>
        <sz val="10"/>
        <color theme="1"/>
        <rFont val="Arial"/>
        <family val="2"/>
      </rPr>
      <t xml:space="preserve">	 Respecter la Charte des droits fondamentaux de l’Union européenne ;
</t>
    </r>
    <r>
      <rPr>
        <b/>
        <sz val="10"/>
        <color theme="1"/>
        <rFont val="Arial"/>
        <family val="2"/>
      </rPr>
      <t>16.</t>
    </r>
    <r>
      <rPr>
        <sz val="10"/>
        <color theme="1"/>
        <rFont val="Arial"/>
        <family val="2"/>
      </rPr>
      <t xml:space="preserve">	 Préserver la confidentialité de tout document, information ou autre matériel en relation directe avec l’opération, dûment qualifiés de confidentiels et dont la divulgation pourrait causer un tort à l’autre partie. La confidentialité est appliquée sans préjudice des règles de publication applicables au niveau de la publicité européenne et de l’obligation de présentation des pièces justificatives mentionnées aux points 9 et 10.</t>
    </r>
  </si>
  <si>
    <r>
      <rPr>
        <b/>
        <sz val="10"/>
        <color theme="1"/>
        <rFont val="Arial"/>
        <family val="2"/>
      </rPr>
      <t>Si vous êtes une association ou une fondation :</t>
    </r>
    <r>
      <rPr>
        <sz val="10"/>
        <color theme="1"/>
        <rFont val="Arial"/>
        <family val="2"/>
      </rPr>
      <t xml:space="preserve">
</t>
    </r>
    <r>
      <rPr>
        <b/>
        <sz val="10"/>
        <color theme="1"/>
        <rFont val="Arial"/>
        <family val="2"/>
      </rPr>
      <t>17.</t>
    </r>
    <r>
      <rPr>
        <sz val="10"/>
        <color theme="1"/>
        <rFont val="Arial"/>
        <family val="2"/>
      </rPr>
      <t xml:space="preserve"> Souscrire au contrat d’engagement républicain annexé au décret n°2021-1947 du 31 décembre 2021 pris pour l’application de l’article 10-1 de la loi n°2000-321 du 12 avril 2000 relative aux droits des citoyens dans leurs relations avec les administrations, et respecter les dispositions du décret précité qui détermine le contenu du contrat, fixe ses modalités de souscription et précise les conditions de retrait des subventions publiques en cas de manquement aux engagements souscrits au titre du contrat.</t>
    </r>
  </si>
  <si>
    <r>
      <rPr>
        <b/>
        <sz val="10"/>
        <color theme="1"/>
        <rFont val="Arial"/>
        <family val="2"/>
      </rPr>
      <t>Pour le paiement de l’aide européenne</t>
    </r>
    <r>
      <rPr>
        <sz val="10"/>
        <color theme="1"/>
        <rFont val="Arial"/>
        <family val="2"/>
      </rPr>
      <t xml:space="preserve">
</t>
    </r>
    <r>
      <rPr>
        <b/>
        <sz val="10"/>
        <color theme="1"/>
        <rFont val="Arial"/>
        <family val="2"/>
      </rPr>
      <t>18.</t>
    </r>
    <r>
      <rPr>
        <sz val="10"/>
        <color theme="1"/>
        <rFont val="Arial"/>
        <family val="2"/>
      </rPr>
      <t xml:space="preserve">	 Fournir les bilans technique et financier et livrables selon les modalités mentionnées dans la convention d'attribution de subvention FEDER ;
</t>
    </r>
    <r>
      <rPr>
        <b/>
        <sz val="10"/>
        <color theme="1"/>
        <rFont val="Arial"/>
        <family val="2"/>
      </rPr>
      <t>19.</t>
    </r>
    <r>
      <rPr>
        <sz val="10"/>
        <color theme="1"/>
        <rFont val="Arial"/>
        <family val="2"/>
      </rPr>
      <t xml:space="preserve">	 Ne présenter que les dépenses rattachables à l’opération, éligibles au FEDER et conformes au règlement (UE) INTERREG 2021-1059 et au décret national d'éligibilité des dépenses applicable sur la programmation 2021-2027 ;
</t>
    </r>
    <r>
      <rPr>
        <b/>
        <sz val="10"/>
        <color theme="1"/>
        <rFont val="Arial"/>
        <family val="2"/>
      </rPr>
      <t>20.</t>
    </r>
    <r>
      <rPr>
        <sz val="10"/>
        <color theme="1"/>
        <rFont val="Arial"/>
        <family val="2"/>
      </rPr>
      <t xml:space="preserve">	 Justifier dûment les dépenses pour le paiement de l’aide européenne.
</t>
    </r>
    <r>
      <rPr>
        <b/>
        <i/>
        <sz val="9"/>
        <color theme="1"/>
        <rFont val="Arial"/>
        <family val="2"/>
      </rPr>
      <t>Attention :</t>
    </r>
    <r>
      <rPr>
        <i/>
        <sz val="9"/>
        <color theme="1"/>
        <rFont val="Arial"/>
        <family val="2"/>
      </rPr>
      <t xml:space="preserve">
Nous vous recommandons de vous reporter au guide du bénéficiaire pour prendre connaissance des pièces justificatives que vous devez transmettre lors de la demande de paiement. Certaines pièces doivent être en effet collectées dès le début du projet et répondre à des conditions de conformité précises. En cas d’absence de ces pièces, de non-conformité de celles-ci, la demande de paiement pourrait être jugée non recevable par le service instructeur.</t>
    </r>
  </si>
  <si>
    <r>
      <rPr>
        <b/>
        <sz val="10"/>
        <color theme="1"/>
        <rFont val="Arial"/>
        <family val="2"/>
      </rPr>
      <t>Dans le cadre du recours au portail de dématérialisation mis à disposition des bénéficiaires par la Région, le bénéficiaire s’engage à :</t>
    </r>
    <r>
      <rPr>
        <sz val="10"/>
        <color theme="1"/>
        <rFont val="Arial"/>
        <family val="2"/>
      </rPr>
      <t xml:space="preserve">
&gt; maintenir l’usage de l’adresse internet (courriel) utilisée pour la création du compte sur le portail, et à maintenir la sécurité du mot de passe ;
&gt; à consulter le portail au minimum toutes les 2 semaines ;
&gt; s’assurer vis-à-vis des salariés - ayant reçu une délégation partielle - d’une gestion non frauduleuse. Ces salariés agissent pour le compte du bénéficiaire et sous la responsabilité de ses dirigeants ;
&gt; superviser les délégations accordées au sein du compte bénéficiaire, et à en assurer la sécurité ;
&gt; s’engage à respecter les conditions générales d’utilisation (CGU) du portail de dématérialisation, disponibles sur la page d’accueil du portail ;
&gt; confirme les données et engagements pris dans la demande de subvention lorsque déposée par le portail de dématérialisation.
Le bénéficiaire est informé et reconnaît que son identité numérique est constituée du courriel communiqué initialement à l’Autorité de gestion et de son mot de passe.</t>
    </r>
  </si>
  <si>
    <t>Le non-respect de ces obligations est susceptible de générer un reversement partiel ou total de l’aide européenne FEDER et du cofinancement.</t>
  </si>
  <si>
    <r>
      <t xml:space="preserve">Fait le : </t>
    </r>
    <r>
      <rPr>
        <b/>
        <sz val="10"/>
        <color theme="3"/>
        <rFont val="Arial"/>
        <family val="2"/>
      </rPr>
      <t>14 décembre 2023</t>
    </r>
  </si>
  <si>
    <r>
      <t xml:space="preserve">A : </t>
    </r>
    <r>
      <rPr>
        <b/>
        <sz val="10"/>
        <color theme="3"/>
        <rFont val="Arial"/>
        <family val="2"/>
      </rPr>
      <t>Saint-Pierre</t>
    </r>
  </si>
  <si>
    <t xml:space="preserve">Lionel CALENGE </t>
  </si>
  <si>
    <t>Directeur Général</t>
  </si>
  <si>
    <t xml:space="preserve">Les informations recueillies font l’objet d’un traitement informatique destiné à l'attribution des aides FEDER, FSE+, FEAMPA et aides régionales mises en place par la Région Réunion ainsi qu'à des fins statistiques. Les destinataires des données sont la Région Réunion, les institutions publiques nationales et communautaires et les partenaires de ces dispositifs cofinancés. Conformément à la loi « informatique et libertés » du 6 janvier 1978 modifiée en 2004, vous bénéficiez d’un droit d’accès et de rectification aux informations qui vous concernent, que vous pouvez exercer en vous adressant à : Région Réunion Hôtel de Région Pierre LAGOURGUE Avenue René Cassin Moufia BP 67190 97801 Saint-Denis Cedex 9, sans préjudice des dispositions applicables aux fonds européens issues de la réglementation communautaire. </t>
  </si>
  <si>
    <r>
      <rPr>
        <b/>
        <sz val="14"/>
        <color theme="1"/>
        <rFont val="Arial"/>
        <family val="2"/>
      </rPr>
      <t>Projet INTERREG :</t>
    </r>
    <r>
      <rPr>
        <sz val="12"/>
        <color theme="1"/>
        <rFont val="Arial"/>
        <family val="2"/>
      </rPr>
      <t xml:space="preserve">  Fiche à télécharger ici : https://regionreunion.com/aides-services/article/votre-projet-interreg-vi-2021-2027</t>
    </r>
  </si>
  <si>
    <t>010-Dépenses d’investissement matériel et immatériel</t>
  </si>
  <si>
    <t>020-Dépenses d’investissement matériel et immatériel sous forme de coût unitaire</t>
  </si>
  <si>
    <t>030-Dépenses d’investissement matériel et immatériel sous forme de montant forfaitaire</t>
  </si>
  <si>
    <t>040-Dépsenses d’amortissement</t>
  </si>
  <si>
    <t>050-Frais de personnel directs</t>
  </si>
  <si>
    <t>060-Frais de personnel directs au taux plafonné à 20% des coûts directs</t>
  </si>
  <si>
    <t>070-Frais de personnel directs sous forme de coûts unitaires</t>
  </si>
  <si>
    <t>080-Frais de personnel sous forme de montant forfaitaire</t>
  </si>
  <si>
    <t>083-Frais de personnel directs et indirects</t>
  </si>
  <si>
    <t>090-Coûts indirects</t>
  </si>
  <si>
    <t>100-Coûts indirects – taux forfaitaire max de 7% des coûts directs</t>
  </si>
  <si>
    <t>110-Coûts indirects – taux forfaitaire max de 15% des frais de personnel directs</t>
  </si>
  <si>
    <t>120-Coûts indirects – taux forfaitaire max de 25% des coûts directs éligibles avec méthode de calcul</t>
  </si>
  <si>
    <t>130-Coûts éligibles restants – taux forfaitaire max de 40% des frais de personnel directs</t>
  </si>
  <si>
    <t>140-Dépenses de prestations externes</t>
  </si>
  <si>
    <t>150-Dépenses de prestations externes sous forme de coûts unitaires</t>
  </si>
  <si>
    <t>160-Dépenses de l’opération intégralement couvertes par des coûts unitaires</t>
  </si>
  <si>
    <t>170-Dépsenses de l’opération intégralement couvertes par un montant forfaitaire</t>
  </si>
  <si>
    <t>180-Dépenses de fonctionnement (frais généraux de structure)</t>
  </si>
  <si>
    <t>190-Dépenses liées aux participants</t>
  </si>
  <si>
    <t>200-Dépenses en nature</t>
  </si>
  <si>
    <t>210-Dépenses de communication de l’opération</t>
  </si>
  <si>
    <t>220-Dépenses de déplacement, des restauration, d’hébergement</t>
  </si>
  <si>
    <t>230-Dépenses liées aux échanges électroniques de données dématérialisés</t>
  </si>
  <si>
    <t>240-Autres dépenses (à spécifier)</t>
  </si>
  <si>
    <t>Fiche de demande de subvention FEDER
(Fiche de travail pré-remplie — à adapter au portail régional des fonds européens)</t>
  </si>
  <si>
    <t>Je, soussigné(e) : À COMPLÉTER PAR LE REPRÉSENTANT LÉGAL / SIGNATAIRE HABILITÉ,
en qualité de signataire et représentant légal de : CHU de La Réunion / organisme porteur à confirmer
(ou signataire avec délégation du représentant légal) ayant qualité pour l’engager juridiquement, sollicite une subvention européenne (FEDER) dans le cadre du Programme Réunion FEDER-FSE+ 2021-2027, fiche action pressentie FA 1.1.5 « Excellence de la recherche et de l’innovation – Empouvoirement des populations india-océaniques », destinée à la réalisation de l’opération suivante :</t>
  </si>
  <si>
    <t>Intitulé opération :</t>
  </si>
  <si>
    <t>Génome Réunion — Référentiel génomique local pour la médecine de précision en population admixée réunionnaise</t>
  </si>
  <si>
    <t>Coût total de l’opération :</t>
  </si>
  <si>
    <t>Montant aide FEDER demandée :</t>
  </si>
  <si>
    <t>Montant aide contrepartie nationale Région demandée :</t>
  </si>
  <si>
    <t>Budget prévisionnel — Projet Génome Réunion</t>
  </si>
  <si>
    <t>Version achat iScan + IT</t>
  </si>
  <si>
    <t>Catégorie de dépense</t>
  </si>
  <si>
    <t>Postes de dépenses</t>
  </si>
  <si>
    <t>Action 1
Coordination / conformité</t>
  </si>
  <si>
    <t>Action 2
Cohorte / iScan</t>
  </si>
  <si>
    <t>Action 3
Bioinformatique / référentiel</t>
  </si>
  <si>
    <t>Action 4
IA clinique / portail</t>
  </si>
  <si>
    <t>Action 5
Diffusion / formation</t>
  </si>
  <si>
    <t>TOTAL hors TVA</t>
  </si>
  <si>
    <t>Observations</t>
  </si>
  <si>
    <t>Gouvernance, RGPD, EFS/CRB</t>
  </si>
  <si>
    <t>Échantillons, extraction, iScan/GDA-8</t>
  </si>
  <si>
    <t>QC, PCA, ADMIXTURE, WGS, base variants</t>
  </si>
  <si>
    <t>Modules IA, API, portail clinique</t>
  </si>
  <si>
    <t>Communication FEDER, formation, publications</t>
  </si>
  <si>
    <t>Coordinateur scientifique IR2 CDD 100% (36 mois)</t>
  </si>
  <si>
    <t>À recruter ou affecter selon règles d’éligibilité</t>
  </si>
  <si>
    <t>Ajustement technique RH / arrondi budget RH proposition 2</t>
  </si>
  <si>
    <t>Permet de faire correspondre le total RH au budget source 524 000 €</t>
  </si>
  <si>
    <t>Technicien de laboratoire CDD 100% (36 mois)</t>
  </si>
  <si>
    <t>Réception, extraction ADN, QC, préparation envois</t>
  </si>
  <si>
    <t>Doctorant CIFRE bioinformatique (36 mois)</t>
  </si>
  <si>
    <t>CIFRE à confirmer ; sinon contrat doctoral classique</t>
  </si>
  <si>
    <t>Data Engineer — alternance puis CDD IE1</t>
  </si>
  <si>
    <t>Pipeline, base de données, automatisation</t>
  </si>
  <si>
    <t>Data Scientist IA — alternance puis CDD IE1</t>
  </si>
  <si>
    <t>Modules pathogénicité, PGx, admixture, PRS</t>
  </si>
  <si>
    <t>Stage DevOps / sécurité / déploiement</t>
  </si>
  <si>
    <t>Déploiement et supervision technique</t>
  </si>
  <si>
    <t>040-Dépenses d’amortissement</t>
  </si>
  <si>
    <t>Acquisition iScan System + AutoLoader/ILASS + IQ/OQ/PQ + maintenance 1ère année</t>
  </si>
  <si>
    <t>Achat matériel stratégique CHU ; amortissement et affectation projet à valider</t>
  </si>
  <si>
    <t>180-Dépenses de fonctionnement</t>
  </si>
  <si>
    <t>Consommables puces GDA-8 + réactifs Infinium — cohorte + familles + QC</t>
  </si>
  <si>
    <t>Hypothèse scénario 2 : acquisition iScan + consommables</t>
  </si>
  <si>
    <t>Extraction ADN — kits et consommables (~2800 échantillons)</t>
  </si>
  <si>
    <t>À confirmer par devis / marché</t>
  </si>
  <si>
    <t>140-Prestations externes</t>
  </si>
  <si>
    <t>Conservation biologique CRB</t>
  </si>
  <si>
    <t>Stockage biologique / traçabilité CRB</t>
  </si>
  <si>
    <t>Infrastructure IT/HDS on-premise — serveurs, GPU, stockage, sauvegarde</t>
  </si>
  <si>
    <t>Éligibilité au prorata temporis à valider ; matériel IT total 334 000 €</t>
  </si>
  <si>
    <t>Prestation web, supports, formation et dissémination</t>
  </si>
  <si>
    <t>Communication FEDER, site, formation utilisateurs</t>
  </si>
  <si>
    <t>À VALIDER — réserve estimative</t>
  </si>
  <si>
    <t>Contingence 10% du budget hors réserve — à convertir en dépenses justifiées ou retirer avant dépôt</t>
  </si>
  <si>
    <t>Ligne non déposabilité certaine : arbitrage avec ingénierie FEDER</t>
  </si>
  <si>
    <t>TOTAL</t>
  </si>
  <si>
    <t>TVA</t>
  </si>
  <si>
    <t>TOTAL TTC</t>
  </si>
  <si>
    <t>Financement prévisionnel</t>
  </si>
  <si>
    <t>FEDER sollicité (85%)</t>
  </si>
  <si>
    <t>Taux FA 1.1.5 — à confirmer par service instructeur</t>
  </si>
  <si>
    <t>Contrepartie publique nationale Région (15%)</t>
  </si>
  <si>
    <t>À confirmer par engagement Région / porteur</t>
  </si>
  <si>
    <t>Recettes nettes générées</t>
  </si>
  <si>
    <t>Réponse proposée : non, 0 €</t>
  </si>
  <si>
    <t>Total ressources</t>
  </si>
  <si>
    <t>Variante hors réserve 10%</t>
  </si>
  <si>
    <t>Budget plus robuste si la contingence est refusée</t>
  </si>
  <si>
    <t>FEDER 85% — variante hors réserve</t>
  </si>
  <si>
    <t>Région 15% — variante hors réserve</t>
  </si>
  <si>
    <t>TABLEAU RÉCAPITULATIF DES COÛTS DE PERSONNEL DIRECTS — Projet Génome Réunion</t>
  </si>
  <si>
    <t>Personnel
(indiquer le nom du salarié si déjà recruté)</t>
  </si>
  <si>
    <t>Fonction</t>
  </si>
  <si>
    <t>Mission</t>
  </si>
  <si>
    <t>ETP
(temps plein/partiel)</t>
  </si>
  <si>
    <t>Coût global
(durée projet 36 mois)</t>
  </si>
  <si>
    <t>Unité d’œuvre</t>
  </si>
  <si>
    <t>Action principale</t>
  </si>
  <si>
    <t>Quotité</t>
  </si>
  <si>
    <t>Total</t>
  </si>
  <si>
    <t>À recruter / affecter</t>
  </si>
  <si>
    <t>Coordinateur scientifique IR2</t>
  </si>
  <si>
    <t>Pilotage scientifique, gouvernance, conformité, encadrement bioinfo/IA</t>
  </si>
  <si>
    <t>1 ETP</t>
  </si>
  <si>
    <t>ETP</t>
  </si>
  <si>
    <t>Action 1</t>
  </si>
  <si>
    <t>À recruter</t>
  </si>
  <si>
    <t>Technicien supérieur de laboratoire</t>
  </si>
  <si>
    <t>Réception échantillons, extraction ADN, QC, préparation envois</t>
  </si>
  <si>
    <t>Action 2</t>
  </si>
  <si>
    <t>À recruter / CIFRE</t>
  </si>
  <si>
    <t>Doctorant bioinformatique</t>
  </si>
  <si>
    <t>QC, PCA/ADMIXTURE, sélection WGS, référentiel variants</t>
  </si>
  <si>
    <t>Action 3</t>
  </si>
  <si>
    <t>Data Engineer</t>
  </si>
  <si>
    <t>Pipelines, base PostgreSQL/MongoDB, automatisation, traçabilité</t>
  </si>
  <si>
    <t>1 ETP partiel sur 34 mois</t>
  </si>
  <si>
    <t>Data Scientist IA</t>
  </si>
  <si>
    <t>Modules IA cliniques : pathogénicité, PGx, admixture, PRS</t>
  </si>
  <si>
    <t>1 ETP partiel sur 20 mois</t>
  </si>
  <si>
    <t>Action 4</t>
  </si>
  <si>
    <t>DevOps / sécurité</t>
  </si>
  <si>
    <t>Déploiement, CI/CD, sauvegarde, supervision technique</t>
  </si>
  <si>
    <t>Stage 6 mois</t>
  </si>
  <si>
    <t>Total des coûts de personnel directs</t>
  </si>
  <si>
    <t>Note</t>
  </si>
  <si>
    <t>La proposition RH 2 est retenue comme compromis coût/risque. Le CIFRE suppose un partenaire privé ; à défaut, basculer vers un contrat doctoral classique.</t>
  </si>
  <si>
    <t>Liste des devis / pièces justificatives — Projet Génome Réunion</t>
  </si>
  <si>
    <t>Nature / objet de l'achat</t>
  </si>
  <si>
    <t>Devis A*</t>
  </si>
  <si>
    <t>Devis B*</t>
  </si>
  <si>
    <t>Devis C*</t>
  </si>
  <si>
    <t>Commentaire / Observation</t>
  </si>
  <si>
    <t>Fournisseur
Prestataire</t>
  </si>
  <si>
    <t>Montant HT</t>
  </si>
  <si>
    <t>Acquisition iScan System + AutoLoader/ILASS + installation/qualification + maintenance</t>
  </si>
  <si>
    <t>Illumina / distributeur à consulter</t>
  </si>
  <si>
    <t>À compléter</t>
  </si>
  <si>
    <t>3 devis ou procédure marché public selon seuils ; achat matériel</t>
  </si>
  <si>
    <t>Consommables puces GDA-8 + réactifs Infinium</t>
  </si>
  <si>
    <t>Cohorte + familles + réplicats QC</t>
  </si>
  <si>
    <t>Fournisseur IT/HDS à consulter</t>
  </si>
  <si>
    <t>Éligibilité au prorata temporis et amortissement à valider</t>
  </si>
  <si>
    <t>Kits et consommables d'extraction ADN</t>
  </si>
  <si>
    <t>Fournisseur à consulter</t>
  </si>
  <si>
    <t>Devis ou marché existant</t>
  </si>
  <si>
    <t>CRB CHU / prestataire interne</t>
  </si>
  <si>
    <t>Justification interne / convention / barème</t>
  </si>
  <si>
    <t>Prestataire à consulter</t>
  </si>
  <si>
    <t>Communication FEDER + portail/formation</t>
  </si>
  <si>
    <t>Séquençage WGS 350 individus</t>
  </si>
  <si>
    <t>POPgen</t>
  </si>
  <si>
    <t>Coût pris en charge par POPgen : fournir lettre/convention partenaire</t>
  </si>
  <si>
    <t>Option non retenue : sous-traitance génotypage tout compris</t>
  </si>
  <si>
    <t>CNG / GenomEast / CNRGH</t>
  </si>
  <si>
    <t>Ancien scénario remplacé par achat matériel iScan + consommables</t>
  </si>
  <si>
    <t>Réserve / contingence 10%</t>
  </si>
  <si>
    <t>À arbitrer</t>
  </si>
  <si>
    <t>Ne pas déposer sans transformation en dépenses justifiées</t>
  </si>
  <si>
    <t>INTERVENTION DE L'UNION EUROPÉENNE
RESPECT DES OBLIGATIONS DE COMMUNICATION — PROJET GÉNOME RÉUNION</t>
  </si>
  <si>
    <t>Projet FEDER : télécharger et signer la fiche publicité UE sur la page Région Réunion « Votre projet FEDER 2021-2027 » : https://www.regionreunion.com/actualite/toute-l-actualite/article/votre-projet-feder-2021-2027</t>
  </si>
  <si>
    <t>Liste des pièces pour le dépôt du dossier FEDER — Projet Génome Réunion</t>
  </si>
  <si>
    <t>Pièces</t>
  </si>
  <si>
    <t>Transmise / à préparer</t>
  </si>
  <si>
    <t>Nom de l'organisme porteur + SIRET</t>
  </si>
  <si>
    <t>À compléter : CHU de La Réunion / Université / autre porteur administratif</t>
  </si>
  <si>
    <t>Description du projet</t>
  </si>
  <si>
    <t>Préparée dans le dossier Word de pré-saisie</t>
  </si>
  <si>
    <t>Dates de début et de fin</t>
  </si>
  <si>
    <t>À confirmer : 01/09/2026 au 31/08/2029 proposé</t>
  </si>
  <si>
    <t>Localisation du projet</t>
  </si>
  <si>
    <t>Toute l'île de La Réunion ; CHU/EFS/CRB ; partenaires POPgen</t>
  </si>
  <si>
    <t>Liste des coûts du projet</t>
  </si>
  <si>
    <t>Pré-remplie dans onglet 4-Budget prev.</t>
  </si>
  <si>
    <t>Type d’aide sollicitée</t>
  </si>
  <si>
    <t>Subvention FEDER 85% + contrepartie publique nationale Région 15%</t>
  </si>
  <si>
    <t>Montant de financement public sollicité</t>
  </si>
  <si>
    <t>FEDER 1 252 597,40 € + Région 221 046,60 € (sur budget source 1 473 644 €)</t>
  </si>
  <si>
    <t>Lettre de demande et d’engagement du porteur</t>
  </si>
  <si>
    <t>À produire et signer</t>
  </si>
  <si>
    <t>Décision de l’organe compétent approuvant le projet et le plan de financement</t>
  </si>
  <si>
    <t>À produire</t>
  </si>
  <si>
    <t>Note de présentation de l’opération / trame scientifique</t>
  </si>
  <si>
    <t>Préparée à partir du document Word + PMU + méthodologie V3.5</t>
  </si>
  <si>
    <t>Calendrier prévisionnel / Gantt</t>
  </si>
  <si>
    <t>À joindre : chronogramme 36 mois</t>
  </si>
  <si>
    <t>Devis / pièces justificatives par dépense</t>
  </si>
  <si>
    <t>À collecter : génotypage, IT, extraction, CRB, communication</t>
  </si>
  <si>
    <t>Grilles marchés publics / modalités commande publique</t>
  </si>
  <si>
    <t>À compléter si porteur soumis au code de la commande publique</t>
  </si>
  <si>
    <t>Fiche publicité UE FEDER</t>
  </si>
  <si>
    <t>À télécharger/signature depuis Région Réunion</t>
  </si>
  <si>
    <t>CV des responsables et fiches de poste</t>
  </si>
  <si>
    <t>À joindre</t>
  </si>
  <si>
    <t>Lettre/convention POPgen attestant la prise en charge du WGS</t>
  </si>
  <si>
    <t>Indispensable pour justifier le coût WGS = 0 €</t>
  </si>
  <si>
    <t>Documents RGPD/éthique : CPP/CNIL, consentement, anonymisation/pseudonymisation</t>
  </si>
  <si>
    <t>À préparer</t>
  </si>
  <si>
    <t>Plan de gestion des données / HDS / sécurité</t>
  </si>
  <si>
    <t>Points à arbitrer avant dépôt</t>
  </si>
  <si>
    <t>Contingence 10%, porteur administratif, SIRET, dates, éligibilité IT/cloud, CIFRE</t>
  </si>
  <si>
    <t>Synthèse de travail — Projet Génome Réunion</t>
  </si>
  <si>
    <t>Scénario budgétaire retenu</t>
  </si>
  <si>
    <t>Achat matériel : acquisition iScan complète + infrastructure IT/HDS on-premise</t>
  </si>
  <si>
    <t>Fiche action pressentie</t>
  </si>
  <si>
    <t>FA 1.1.5 Excellence de la recherche et de l’innovation – Empouvoirement des populations india-océaniques</t>
  </si>
  <si>
    <t>Durée proposée</t>
  </si>
  <si>
    <t>36 mois</t>
  </si>
  <si>
    <t>Budget source avec réserve 10%</t>
  </si>
  <si>
    <t>FEDER 85%</t>
  </si>
  <si>
    <t>Région 15%</t>
  </si>
  <si>
    <t>Budget hors réserve</t>
  </si>
  <si>
    <t>Valeur nominale équipements recherche</t>
  </si>
  <si>
    <t>Point bloquant 1</t>
  </si>
  <si>
    <t>Réserve 10% à supprimer ou transformer en dépenses justifiées avant dépôt</t>
  </si>
  <si>
    <t>Point bloquant 2</t>
  </si>
  <si>
    <t>Acquisition iScan et infrastructure IT : éligibilité/amortissement/prorata temporis à valider</t>
  </si>
  <si>
    <t>Point bloquant 3</t>
  </si>
  <si>
    <t>Porteur administratif, SIRET, représentant légal et marchés publics à confirmer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</si>
</sst>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43" formatCode="_-* #,##0.00_-;\-* #,##0.00_-;_-* &quot;-&quot;??_-;_-@_-"/>
    <numFmt numFmtId="164" formatCode="_-* #,##0.00\ [$€-40C]_-;\-* #,##0.00\ [$€-40C]_-;_-* &quot;-&quot;??\ [$€-40C]_-;_-@_-"/>
    <numFmt numFmtId="166" formatCode="#\ ##,000\ \€"/>
    <numFmt numFmtId="167" formatCode="#,##0\ &quot;€&quot;"/>
  </numFmts>
  <fonts count="44" x14ac:knownFonts="1">
    <font>
      <sz val="10"/>
      <color theme="1"/>
      <name val="Arial"/>
    </font>
    <font>
      <sz val="10"/>
      <color theme="1"/>
      <name val="Arial"/>
    </font>
    <font>
      <b/>
      <sz val="10"/>
      <color theme="1"/>
      <name val="Arial"/>
    </font>
    <font>
      <sz val="10"/>
      <color rgb="FF000000"/>
      <name val="Arial"/>
    </font>
    <font>
      <b/>
      <sz val="10"/>
      <color rgb="FF000000"/>
      <name val="Arial"/>
    </font>
    <font>
      <i/>
      <sz val="10"/>
      <color rgb="FF000000"/>
      <name val="Arial"/>
    </font>
    <font>
      <b/>
      <i/>
      <sz val="10"/>
      <color theme="1"/>
      <name val="Arial"/>
    </font>
    <font>
      <b/>
      <sz val="12"/>
      <color theme="0"/>
      <name val="Arial"/>
    </font>
    <font>
      <b/>
      <i/>
      <sz val="12"/>
      <color rgb="FF000000"/>
      <name val="Arial"/>
    </font>
    <font>
      <b/>
      <sz val="14"/>
      <color theme="1"/>
      <name val="Arial"/>
    </font>
    <font>
      <sz val="12"/>
      <color theme="1"/>
      <name val="Arial"/>
    </font>
    <font>
      <b/>
      <sz val="12"/>
      <color theme="1"/>
      <name val="Arial"/>
    </font>
    <font>
      <b/>
      <sz val="14"/>
      <color theme="0"/>
      <name val="Arial"/>
    </font>
    <font>
      <sz val="10"/>
      <name val="Arial"/>
    </font>
    <font>
      <sz val="8"/>
      <color rgb="FF000000"/>
      <name val="Arial"/>
    </font>
    <font>
      <b/>
      <sz val="12"/>
      <color rgb="FF000000"/>
      <name val="Arial"/>
    </font>
    <font>
      <b/>
      <sz val="11"/>
      <color theme="1"/>
      <name val="Arial"/>
    </font>
    <font>
      <b/>
      <sz val="11"/>
      <color theme="0"/>
      <name val="Arial"/>
    </font>
    <font>
      <sz val="8"/>
      <color theme="1"/>
      <name val="Arial"/>
    </font>
    <font>
      <sz val="12"/>
      <color rgb="FF000000"/>
      <name val="Arial"/>
    </font>
    <font>
      <b/>
      <sz val="12"/>
      <color rgb="FF000000"/>
      <name val="Arial"/>
    </font>
    <font>
      <b/>
      <sz val="10"/>
      <color rgb="FF000000"/>
      <name val="Arial"/>
    </font>
    <font>
      <i/>
      <sz val="10"/>
      <color rgb="FF000000"/>
      <name val="Arial"/>
    </font>
    <font>
      <sz val="11"/>
      <color theme="1"/>
      <name val="Calibri"/>
    </font>
    <font>
      <sz val="9"/>
      <color theme="1"/>
      <name val="Arial"/>
    </font>
    <font>
      <sz val="11"/>
      <color theme="1"/>
      <name val="Arial"/>
    </font>
    <font>
      <b/>
      <sz val="10"/>
      <color theme="0"/>
      <name val="Arial"/>
    </font>
    <font>
      <i/>
      <sz val="10"/>
      <name val="Arial"/>
    </font>
    <font>
      <sz val="10"/>
      <color theme="3"/>
      <name val="Arial"/>
    </font>
    <font>
      <b/>
      <sz val="11"/>
      <color theme="3"/>
      <name val="Arial"/>
    </font>
    <font>
      <b/>
      <sz val="12"/>
      <color rgb="FFFFFFFF"/>
      <name val="Arial"/>
    </font>
    <font>
      <b/>
      <sz val="10"/>
      <color rgb="FFFFFFFF"/>
      <name val="Arial"/>
    </font>
    <font>
      <b/>
      <i/>
      <sz val="10"/>
      <color rgb="FF555555"/>
      <name val="Arial"/>
    </font>
    <font>
      <b/>
      <i/>
      <sz val="9"/>
      <color rgb="FF555555"/>
      <name val="Arial"/>
    </font>
    <font>
      <b/>
      <sz val="12"/>
      <color theme="1"/>
      <name val="Arial"/>
      <family val="2"/>
    </font>
    <font>
      <sz val="12"/>
      <color theme="1"/>
      <name val="Arial"/>
      <family val="2"/>
    </font>
    <font>
      <b/>
      <sz val="10"/>
      <color rgb="FF000000"/>
      <name val="Arial"/>
      <family val="2"/>
    </font>
    <font>
      <b/>
      <i/>
      <sz val="10"/>
      <color rgb="FF000000"/>
      <name val="Arial"/>
      <family val="2"/>
    </font>
    <font>
      <b/>
      <sz val="10"/>
      <color theme="1"/>
      <name val="Arial"/>
      <family val="2"/>
    </font>
    <font>
      <sz val="10"/>
      <color theme="1"/>
      <name val="Arial"/>
      <family val="2"/>
    </font>
    <font>
      <b/>
      <i/>
      <sz val="9"/>
      <color theme="1"/>
      <name val="Arial"/>
      <family val="2"/>
    </font>
    <font>
      <i/>
      <sz val="9"/>
      <color theme="1"/>
      <name val="Arial"/>
      <family val="2"/>
    </font>
    <font>
      <b/>
      <sz val="10"/>
      <color theme="3"/>
      <name val="Arial"/>
      <family val="2"/>
    </font>
    <font>
      <b/>
      <sz val="14"/>
      <color theme="1"/>
      <name val="Arial"/>
      <family val="2"/>
    </font>
  </fonts>
  <fills count="22">
    <fill>
      <patternFill patternType="none"/>
    </fill>
    <fill>
      <patternFill patternType="gray125"/>
    </fill>
    <fill>
      <patternFill patternType="solid">
        <fgColor theme="0" tint="-0.14999847407452621"/>
        <bgColor indexed="65"/>
      </patternFill>
    </fill>
    <fill>
      <patternFill patternType="solid">
        <fgColor rgb="FFD9D9D9"/>
      </patternFill>
    </fill>
    <fill>
      <patternFill patternType="solid">
        <fgColor rgb="FF002060"/>
      </patternFill>
    </fill>
    <fill>
      <patternFill patternType="solid">
        <fgColor theme="1"/>
      </patternFill>
    </fill>
    <fill>
      <patternFill patternType="solid">
        <fgColor theme="2" tint="-9.9978637043366805E-2"/>
        <bgColor indexed="65"/>
      </patternFill>
    </fill>
    <fill>
      <patternFill patternType="solid">
        <fgColor rgb="FFD9D9D9"/>
      </patternFill>
    </fill>
    <fill>
      <patternFill patternType="solid">
        <fgColor theme="9" tint="0.59996337778862885"/>
        <bgColor indexed="65"/>
      </patternFill>
    </fill>
    <fill>
      <patternFill patternType="solid">
        <fgColor theme="5" tint="0.79995117038483843"/>
        <bgColor indexed="65"/>
      </patternFill>
    </fill>
    <fill>
      <patternFill patternType="solid">
        <fgColor theme="9" tint="0.79995117038483843"/>
        <bgColor indexed="65"/>
      </patternFill>
    </fill>
    <fill>
      <patternFill patternType="solid">
        <fgColor theme="3"/>
      </patternFill>
    </fill>
    <fill>
      <patternFill patternType="solid">
        <fgColor theme="0"/>
      </patternFill>
    </fill>
    <fill>
      <patternFill patternType="solid">
        <fgColor rgb="FF0F3A56"/>
      </patternFill>
    </fill>
    <fill>
      <patternFill patternType="solid">
        <fgColor rgb="FFD9EAF7"/>
      </patternFill>
    </fill>
    <fill>
      <patternFill patternType="solid">
        <fgColor rgb="FFEAF6F6"/>
      </patternFill>
    </fill>
    <fill>
      <patternFill patternType="solid">
        <fgColor rgb="FFF4F7FB"/>
      </patternFill>
    </fill>
    <fill>
      <patternFill patternType="solid">
        <fgColor rgb="FFFFF7ED"/>
      </patternFill>
    </fill>
    <fill>
      <patternFill patternType="solid">
        <fgColor rgb="FF0F3A56"/>
      </patternFill>
    </fill>
    <fill>
      <patternFill patternType="solid">
        <fgColor rgb="FF1F4E79"/>
      </patternFill>
    </fill>
    <fill>
      <patternFill patternType="solid">
        <fgColor rgb="FFEAF3F8"/>
      </patternFill>
    </fill>
    <fill>
      <patternFill patternType="solid">
        <fgColor rgb="FFD9EAF7"/>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67">
    <xf numFmtId="0" fontId="0" fillId="0" borderId="0" xfId="0"/>
    <xf numFmtId="0" fontId="0" fillId="0" borderId="0" xfId="0" applyAlignment="1">
      <alignment wrapText="1"/>
    </xf>
    <xf numFmtId="0" fontId="0" fillId="0" borderId="0" xfId="0" applyAlignment="1">
      <alignment horizontal="left" vertical="center" wrapText="1"/>
    </xf>
    <xf numFmtId="0" fontId="3" fillId="0" borderId="0" xfId="0" applyFont="1" applyAlignment="1">
      <alignment vertical="center"/>
    </xf>
    <xf numFmtId="0" fontId="6" fillId="0" borderId="0" xfId="0" applyFont="1"/>
    <xf numFmtId="0" fontId="9" fillId="0" borderId="0" xfId="0" applyFont="1" applyAlignment="1">
      <alignment horizontal="center" vertical="center"/>
    </xf>
    <xf numFmtId="0" fontId="6" fillId="0" borderId="0" xfId="0" applyFont="1" applyAlignment="1">
      <alignment horizontal="left" vertical="center" wrapText="1"/>
    </xf>
    <xf numFmtId="0" fontId="0" fillId="0" borderId="1" xfId="0" applyBorder="1" applyAlignment="1">
      <alignment wrapText="1"/>
    </xf>
    <xf numFmtId="0" fontId="0" fillId="0" borderId="1" xfId="0" applyBorder="1"/>
    <xf numFmtId="0" fontId="10" fillId="0" borderId="0" xfId="0" applyFont="1"/>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1" fillId="2" borderId="1" xfId="0" applyFont="1" applyFill="1" applyBorder="1" applyAlignment="1">
      <alignment vertical="center" wrapText="1"/>
    </xf>
    <xf numFmtId="0" fontId="0" fillId="0" borderId="0" xfId="0" applyAlignment="1">
      <alignment horizontal="left" vertical="center"/>
    </xf>
    <xf numFmtId="0" fontId="0" fillId="0" borderId="7" xfId="0" applyBorder="1" applyAlignment="1">
      <alignmen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horizontal="center" vertical="top"/>
    </xf>
    <xf numFmtId="0" fontId="6" fillId="0" borderId="0" xfId="0" applyFont="1" applyAlignment="1">
      <alignment horizontal="center" vertical="top"/>
    </xf>
    <xf numFmtId="0" fontId="6" fillId="0" borderId="0" xfId="0" applyFont="1" applyAlignment="1">
      <alignment horizontal="left" vertical="center"/>
    </xf>
    <xf numFmtId="0" fontId="6" fillId="0" borderId="0" xfId="0" applyFont="1" applyAlignment="1">
      <alignment wrapText="1"/>
    </xf>
    <xf numFmtId="0" fontId="3" fillId="0" borderId="1" xfId="0" applyFont="1" applyBorder="1" applyAlignment="1">
      <alignment horizontal="justify" vertical="center"/>
    </xf>
    <xf numFmtId="0" fontId="5" fillId="0" borderId="1" xfId="0" applyFont="1" applyBorder="1" applyAlignment="1">
      <alignment horizontal="justify" vertical="center"/>
    </xf>
    <xf numFmtId="0" fontId="0" fillId="0" borderId="0" xfId="0" applyAlignment="1">
      <alignment horizontal="left"/>
    </xf>
    <xf numFmtId="0" fontId="10" fillId="0" borderId="1" xfId="0" applyFont="1" applyBorder="1" applyAlignment="1">
      <alignment vertical="center" wrapText="1"/>
    </xf>
    <xf numFmtId="0" fontId="0" fillId="0" borderId="0" xfId="0" applyAlignment="1">
      <alignment horizontal="center" vertical="center" wrapText="1"/>
    </xf>
    <xf numFmtId="0" fontId="7" fillId="5" borderId="0" xfId="0" applyFont="1" applyFill="1" applyAlignment="1">
      <alignment horizontal="center" vertical="center" wrapText="1"/>
    </xf>
    <xf numFmtId="0" fontId="21" fillId="0" borderId="1" xfId="0" applyFont="1" applyBorder="1" applyAlignment="1">
      <alignment vertical="top" wrapText="1"/>
    </xf>
    <xf numFmtId="0" fontId="19" fillId="0" borderId="0" xfId="0" applyFont="1" applyAlignment="1">
      <alignment horizontal="left" vertical="center"/>
    </xf>
    <xf numFmtId="0" fontId="10" fillId="0" borderId="0" xfId="0" applyFont="1" applyAlignment="1">
      <alignment horizontal="left"/>
    </xf>
    <xf numFmtId="0" fontId="23" fillId="0" borderId="0" xfId="0" applyFont="1" applyAlignment="1">
      <alignment vertical="center"/>
    </xf>
    <xf numFmtId="44" fontId="0" fillId="0" borderId="0" xfId="1" applyFont="1"/>
    <xf numFmtId="0" fontId="23" fillId="8" borderId="0" xfId="0" applyFont="1" applyFill="1" applyAlignment="1">
      <alignment vertical="center"/>
    </xf>
    <xf numFmtId="0" fontId="0" fillId="8" borderId="0" xfId="0" applyFill="1"/>
    <xf numFmtId="0" fontId="23" fillId="9" borderId="0" xfId="0" applyFont="1" applyFill="1" applyAlignment="1">
      <alignment vertical="center"/>
    </xf>
    <xf numFmtId="0" fontId="0" fillId="9" borderId="0" xfId="0" applyFill="1"/>
    <xf numFmtId="0" fontId="23" fillId="10" borderId="0" xfId="0" applyFont="1" applyFill="1" applyAlignment="1">
      <alignment vertical="center"/>
    </xf>
    <xf numFmtId="0" fontId="0" fillId="10" borderId="0" xfId="0" applyFill="1"/>
    <xf numFmtId="0" fontId="28" fillId="0" borderId="1" xfId="0" applyFont="1" applyBorder="1" applyAlignment="1">
      <alignment vertical="center" wrapText="1"/>
    </xf>
    <xf numFmtId="0" fontId="14" fillId="0" borderId="1" xfId="0" applyFont="1" applyBorder="1" applyAlignment="1">
      <alignment horizontal="center" vertical="center" wrapText="1"/>
    </xf>
    <xf numFmtId="0" fontId="0" fillId="0" borderId="0" xfId="0" applyAlignment="1">
      <alignment horizontal="center"/>
    </xf>
    <xf numFmtId="164" fontId="0" fillId="0" borderId="1" xfId="0" applyNumberFormat="1" applyBorder="1" applyAlignment="1">
      <alignment horizontal="left" vertical="center" wrapText="1"/>
    </xf>
    <xf numFmtId="0" fontId="0" fillId="12" borderId="1" xfId="0" applyFill="1" applyBorder="1" applyAlignment="1">
      <alignment vertical="center"/>
    </xf>
    <xf numFmtId="0" fontId="0" fillId="12" borderId="1" xfId="0" applyFill="1" applyBorder="1" applyAlignment="1">
      <alignment horizontal="left" vertical="center"/>
    </xf>
    <xf numFmtId="0" fontId="2" fillId="0" borderId="1" xfId="0" applyNumberFormat="1" applyFont="1" applyFill="1" applyBorder="1" applyAlignment="1">
      <alignment horizontal="justify" vertical="center" wrapText="1"/>
    </xf>
    <xf numFmtId="166" fontId="29" fillId="0" borderId="1" xfId="0" applyNumberFormat="1" applyFont="1" applyFill="1" applyBorder="1" applyAlignment="1">
      <alignment vertical="center"/>
    </xf>
    <xf numFmtId="0" fontId="31" fillId="13" borderId="0" xfId="0" applyNumberFormat="1" applyFont="1" applyFill="1" applyBorder="1"/>
    <xf numFmtId="0" fontId="24" fillId="0" borderId="1" xfId="0" applyNumberFormat="1" applyFont="1" applyFill="1" applyBorder="1" applyAlignment="1">
      <alignment horizontal="center" vertical="center" wrapText="1"/>
    </xf>
    <xf numFmtId="166" fontId="25" fillId="0" borderId="1" xfId="0" applyNumberFormat="1" applyFont="1" applyFill="1" applyBorder="1" applyAlignment="1">
      <alignment horizontal="right" vertical="center" wrapText="1"/>
    </xf>
    <xf numFmtId="0" fontId="0" fillId="0" borderId="0" xfId="0" applyNumberFormat="1" applyFont="1" applyFill="1" applyBorder="1" applyAlignment="1">
      <alignment wrapText="1"/>
    </xf>
    <xf numFmtId="0" fontId="26" fillId="11" borderId="2" xfId="0" applyNumberFormat="1" applyFont="1" applyFill="1" applyBorder="1" applyAlignment="1">
      <alignment horizontal="left" vertical="center" wrapText="1"/>
    </xf>
    <xf numFmtId="0" fontId="26" fillId="11" borderId="4" xfId="0" applyNumberFormat="1" applyFont="1" applyFill="1" applyBorder="1" applyAlignment="1">
      <alignment horizontal="left" vertical="center" wrapText="1"/>
    </xf>
    <xf numFmtId="0" fontId="6" fillId="0" borderId="0" xfId="0" applyNumberFormat="1" applyFont="1" applyFill="1" applyBorder="1" applyAlignment="1">
      <alignment horizontal="left" vertical="center" wrapText="1"/>
    </xf>
    <xf numFmtId="0" fontId="6" fillId="16" borderId="0" xfId="0" applyNumberFormat="1" applyFont="1" applyFill="1" applyBorder="1" applyAlignment="1">
      <alignment horizontal="left" vertical="center" wrapText="1"/>
    </xf>
    <xf numFmtId="166" fontId="13" fillId="0" borderId="1" xfId="0" applyNumberFormat="1" applyFont="1" applyFill="1" applyBorder="1" applyAlignment="1">
      <alignment vertical="center" wrapText="1"/>
    </xf>
    <xf numFmtId="166" fontId="3" fillId="0" borderId="1" xfId="0" applyNumberFormat="1" applyFont="1" applyFill="1" applyBorder="1" applyAlignment="1">
      <alignment horizontal="center" vertical="center" wrapText="1"/>
    </xf>
    <xf numFmtId="166" fontId="17" fillId="11" borderId="1" xfId="0" applyNumberFormat="1" applyFont="1" applyFill="1" applyBorder="1" applyAlignment="1">
      <alignment horizontal="center" vertical="center" wrapText="1"/>
    </xf>
    <xf numFmtId="0" fontId="26" fillId="11" borderId="1" xfId="0" applyNumberFormat="1" applyFont="1" applyFill="1" applyBorder="1" applyAlignment="1">
      <alignment horizontal="center" vertical="center" wrapText="1"/>
    </xf>
    <xf numFmtId="0" fontId="13" fillId="0" borderId="1" xfId="0" applyNumberFormat="1" applyFont="1" applyFill="1" applyBorder="1" applyAlignment="1">
      <alignment vertical="center" wrapText="1"/>
    </xf>
    <xf numFmtId="0" fontId="1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43" fontId="25" fillId="0" borderId="1" xfId="0" applyNumberFormat="1" applyFont="1" applyFill="1" applyBorder="1" applyAlignment="1">
      <alignment horizontal="right" vertical="center" wrapText="1"/>
    </xf>
    <xf numFmtId="0" fontId="27" fillId="0" borderId="1" xfId="0" applyNumberFormat="1" applyFont="1" applyFill="1" applyBorder="1" applyAlignment="1">
      <alignment vertical="center" wrapText="1"/>
    </xf>
    <xf numFmtId="44"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44" fontId="3" fillId="0" borderId="1" xfId="0" applyNumberFormat="1" applyFont="1" applyFill="1" applyBorder="1" applyAlignment="1">
      <alignment horizontal="left" vertical="center" wrapText="1"/>
    </xf>
    <xf numFmtId="0" fontId="0" fillId="0" borderId="1" xfId="0" applyNumberFormat="1" applyFont="1" applyFill="1" applyBorder="1" applyAlignment="1">
      <alignment vertical="center" wrapText="1"/>
    </xf>
    <xf numFmtId="0" fontId="0" fillId="0" borderId="1" xfId="0" applyNumberFormat="1" applyFont="1" applyFill="1" applyBorder="1" applyAlignment="1">
      <alignment horizontal="left" vertical="center" wrapText="1"/>
    </xf>
    <xf numFmtId="0" fontId="4" fillId="14" borderId="1" xfId="0" applyNumberFormat="1" applyFont="1" applyFill="1" applyBorder="1" applyAlignment="1">
      <alignment vertical="center" wrapText="1"/>
    </xf>
    <xf numFmtId="0" fontId="4" fillId="3" borderId="1" xfId="0" applyNumberFormat="1" applyFont="1" applyFill="1" applyBorder="1" applyAlignment="1">
      <alignment vertical="center" wrapText="1"/>
    </xf>
    <xf numFmtId="0" fontId="4" fillId="3" borderId="1" xfId="0" applyNumberFormat="1" applyFont="1" applyFill="1" applyBorder="1" applyAlignment="1">
      <alignment horizontal="center" vertical="center" wrapText="1"/>
    </xf>
    <xf numFmtId="0" fontId="3"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justify" vertical="center" wrapText="1"/>
    </xf>
    <xf numFmtId="0" fontId="14" fillId="0" borderId="1" xfId="0" applyNumberFormat="1" applyFont="1" applyFill="1" applyBorder="1" applyAlignment="1">
      <alignment horizontal="center" vertical="center" wrapText="1"/>
    </xf>
    <xf numFmtId="0" fontId="3" fillId="12" borderId="1" xfId="0" applyNumberFormat="1" applyFont="1" applyFill="1" applyBorder="1" applyAlignment="1">
      <alignment horizontal="justify" vertical="center" wrapText="1"/>
    </xf>
    <xf numFmtId="166" fontId="0" fillId="0" borderId="0" xfId="0" applyNumberFormat="1" applyFont="1" applyFill="1" applyBorder="1" applyAlignment="1">
      <alignment wrapText="1"/>
    </xf>
    <xf numFmtId="0" fontId="0" fillId="0" borderId="0" xfId="0" applyNumberFormat="1" applyFont="1" applyFill="1" applyBorder="1" applyAlignment="1">
      <alignment horizontal="left" vertical="center" wrapText="1"/>
    </xf>
    <xf numFmtId="0" fontId="0" fillId="0" borderId="0" xfId="0" applyNumberFormat="1" applyFont="1" applyFill="1" applyBorder="1" applyAlignment="1">
      <alignment horizontal="center" vertical="center" wrapText="1"/>
    </xf>
    <xf numFmtId="0" fontId="31" fillId="18" borderId="0" xfId="0" applyNumberFormat="1" applyFont="1" applyFill="1" applyBorder="1"/>
    <xf numFmtId="0" fontId="2" fillId="0" borderId="0" xfId="0" applyNumberFormat="1" applyFont="1" applyFill="1" applyBorder="1" applyAlignment="1">
      <alignment wrapText="1"/>
    </xf>
    <xf numFmtId="0" fontId="2" fillId="0" borderId="0" xfId="0" applyNumberFormat="1" applyFont="1" applyFill="1" applyBorder="1"/>
    <xf numFmtId="167" fontId="0" fillId="0" borderId="0" xfId="0" applyNumberFormat="1" applyFont="1" applyFill="1" applyBorder="1" applyAlignment="1">
      <alignment wrapText="1"/>
    </xf>
    <xf numFmtId="0" fontId="31" fillId="18" borderId="0" xfId="0" applyNumberFormat="1" applyFont="1" applyFill="1" applyBorder="1" applyAlignment="1">
      <alignment wrapText="1"/>
    </xf>
    <xf numFmtId="0" fontId="30" fillId="18" borderId="5" xfId="0" applyNumberFormat="1" applyFont="1" applyFill="1" applyBorder="1" applyAlignment="1">
      <alignment horizontal="center" vertical="center" wrapText="1"/>
    </xf>
    <xf numFmtId="0" fontId="31" fillId="19" borderId="6" xfId="0" applyNumberFormat="1" applyFont="1" applyFill="1" applyBorder="1" applyAlignment="1">
      <alignment horizontal="center" vertical="center" wrapText="1"/>
    </xf>
    <xf numFmtId="0" fontId="31" fillId="19" borderId="1" xfId="0" applyNumberFormat="1" applyFont="1" applyFill="1" applyBorder="1" applyAlignment="1">
      <alignment horizontal="center" vertical="center" wrapText="1"/>
    </xf>
    <xf numFmtId="0" fontId="32" fillId="20" borderId="7" xfId="0" applyNumberFormat="1" applyFont="1" applyFill="1" applyBorder="1" applyAlignment="1">
      <alignment horizontal="center" vertical="center" wrapText="1"/>
    </xf>
    <xf numFmtId="0" fontId="33" fillId="20" borderId="1" xfId="0" applyNumberFormat="1" applyFont="1" applyFill="1" applyBorder="1" applyAlignment="1">
      <alignment horizontal="center" vertical="center" wrapText="1"/>
    </xf>
    <xf numFmtId="0" fontId="6" fillId="21" borderId="0" xfId="0" applyNumberFormat="1" applyFont="1" applyFill="1" applyBorder="1" applyAlignment="1">
      <alignment horizontal="left" vertical="center" wrapText="1"/>
    </xf>
    <xf numFmtId="167" fontId="25" fillId="0" borderId="1" xfId="0" applyNumberFormat="1" applyFont="1" applyFill="1" applyBorder="1" applyAlignment="1">
      <alignment horizontal="right" vertical="center" wrapText="1"/>
    </xf>
    <xf numFmtId="167" fontId="7" fillId="11" borderId="1" xfId="0" applyNumberFormat="1" applyFont="1" applyFill="1" applyBorder="1" applyAlignment="1">
      <alignment horizontal="right" vertical="center" wrapText="1"/>
    </xf>
    <xf numFmtId="167" fontId="16" fillId="0" borderId="1" xfId="0" applyNumberFormat="1" applyFont="1" applyFill="1" applyBorder="1" applyAlignment="1">
      <alignment horizontal="right" vertical="center" wrapText="1"/>
    </xf>
    <xf numFmtId="0" fontId="30" fillId="18" borderId="0" xfId="0" applyNumberFormat="1" applyFont="1" applyFill="1" applyBorder="1" applyAlignment="1">
      <alignment horizontal="center" vertical="center" wrapText="1"/>
    </xf>
    <xf numFmtId="167" fontId="0" fillId="0" borderId="1" xfId="0" applyNumberFormat="1" applyFont="1" applyFill="1" applyBorder="1" applyAlignment="1">
      <alignment horizontal="center" vertical="center" wrapText="1"/>
    </xf>
    <xf numFmtId="167" fontId="0" fillId="0" borderId="1" xfId="0" applyNumberFormat="1" applyFont="1" applyFill="1" applyBorder="1" applyAlignment="1">
      <alignment horizontal="left" vertical="center" wrapText="1"/>
    </xf>
    <xf numFmtId="167" fontId="0" fillId="0" borderId="0" xfId="0" applyNumberFormat="1" applyFont="1" applyFill="1" applyBorder="1" applyAlignment="1">
      <alignment horizontal="left" vertical="center" wrapText="1"/>
    </xf>
    <xf numFmtId="167" fontId="0" fillId="0" borderId="1"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18" fillId="0" borderId="1" xfId="0" applyNumberFormat="1" applyFont="1" applyFill="1" applyBorder="1" applyAlignment="1">
      <alignment horizontal="left" vertical="center" wrapText="1"/>
    </xf>
    <xf numFmtId="0" fontId="24" fillId="0" borderId="1" xfId="0" applyNumberFormat="1" applyFont="1" applyFill="1" applyBorder="1" applyAlignment="1">
      <alignment horizontal="left" vertical="center" wrapText="1"/>
    </xf>
    <xf numFmtId="0" fontId="24" fillId="12" borderId="1" xfId="0" applyNumberFormat="1" applyFont="1" applyFill="1" applyBorder="1" applyAlignment="1">
      <alignment horizontal="left" vertical="center" wrapText="1"/>
    </xf>
    <xf numFmtId="0" fontId="0" fillId="6" borderId="2" xfId="0" applyNumberFormat="1" applyFont="1" applyFill="1" applyBorder="1" applyAlignment="1">
      <alignment horizontal="left" vertical="center" wrapText="1"/>
    </xf>
    <xf numFmtId="0" fontId="0" fillId="6" borderId="4" xfId="0" applyNumberFormat="1" applyFont="1" applyFill="1" applyBorder="1" applyAlignment="1">
      <alignment horizontal="left" vertical="center" wrapText="1"/>
    </xf>
    <xf numFmtId="0" fontId="2" fillId="15" borderId="2" xfId="0" applyNumberFormat="1" applyFont="1" applyFill="1" applyBorder="1" applyAlignment="1">
      <alignment horizontal="left" vertical="center" wrapText="1"/>
    </xf>
    <xf numFmtId="0" fontId="2" fillId="15" borderId="4" xfId="0" applyNumberFormat="1" applyFont="1" applyFill="1" applyBorder="1" applyAlignment="1">
      <alignment horizontal="left" vertical="center" wrapText="1"/>
    </xf>
    <xf numFmtId="0" fontId="0" fillId="15" borderId="0" xfId="0" applyNumberFormat="1" applyFont="1" applyFill="1" applyBorder="1" applyAlignment="1">
      <alignment horizontal="left" vertical="center" wrapText="1"/>
    </xf>
    <xf numFmtId="0" fontId="2" fillId="21" borderId="0" xfId="0" applyNumberFormat="1" applyFont="1" applyFill="1" applyBorder="1" applyAlignment="1">
      <alignment horizontal="left" vertical="center" wrapText="1"/>
    </xf>
    <xf numFmtId="0" fontId="0" fillId="16" borderId="0" xfId="0" applyNumberFormat="1" applyFont="1" applyFill="1" applyBorder="1" applyAlignment="1">
      <alignment horizontal="left" vertical="center" wrapText="1"/>
    </xf>
    <xf numFmtId="0" fontId="2" fillId="20" borderId="0" xfId="0" applyNumberFormat="1" applyFont="1" applyFill="1" applyBorder="1" applyAlignment="1">
      <alignment horizontal="left" vertical="center" wrapText="1"/>
    </xf>
    <xf numFmtId="0" fontId="0" fillId="17" borderId="0" xfId="0" applyNumberFormat="1" applyFont="1" applyFill="1" applyBorder="1" applyAlignment="1">
      <alignment horizontal="left" vertical="center" wrapText="1"/>
    </xf>
    <xf numFmtId="167" fontId="0" fillId="6" borderId="1" xfId="0" applyNumberFormat="1" applyFont="1" applyFill="1" applyBorder="1" applyAlignment="1">
      <alignment horizontal="right" vertical="center" wrapText="1"/>
    </xf>
    <xf numFmtId="167" fontId="0" fillId="15" borderId="1" xfId="0" applyNumberFormat="1" applyFont="1" applyFill="1" applyBorder="1" applyAlignment="1">
      <alignment horizontal="right" vertical="center" wrapText="1"/>
    </xf>
    <xf numFmtId="167" fontId="0" fillId="15" borderId="0" xfId="0" applyNumberFormat="1" applyFont="1" applyFill="1" applyBorder="1" applyAlignment="1">
      <alignment horizontal="right" vertical="center" wrapText="1"/>
    </xf>
    <xf numFmtId="167" fontId="6" fillId="21" borderId="0" xfId="0" applyNumberFormat="1" applyFont="1" applyFill="1" applyBorder="1" applyAlignment="1">
      <alignment horizontal="right" vertical="center" wrapText="1"/>
    </xf>
    <xf numFmtId="167" fontId="6" fillId="0" borderId="0" xfId="0" applyNumberFormat="1" applyFont="1" applyFill="1" applyBorder="1" applyAlignment="1">
      <alignment horizontal="right" vertical="center" wrapText="1"/>
    </xf>
    <xf numFmtId="167" fontId="6" fillId="16" borderId="0" xfId="0" applyNumberFormat="1" applyFont="1" applyFill="1" applyBorder="1" applyAlignment="1">
      <alignment horizontal="right" vertical="center" wrapText="1"/>
    </xf>
    <xf numFmtId="167" fontId="0" fillId="16" borderId="0" xfId="0" applyNumberFormat="1" applyFont="1" applyFill="1" applyBorder="1" applyAlignment="1">
      <alignment horizontal="right" vertical="center" wrapText="1"/>
    </xf>
    <xf numFmtId="167" fontId="2" fillId="20" borderId="0" xfId="0" applyNumberFormat="1" applyFont="1" applyFill="1" applyBorder="1" applyAlignment="1">
      <alignment horizontal="right" vertical="center" wrapText="1"/>
    </xf>
    <xf numFmtId="167" fontId="0" fillId="17" borderId="0" xfId="0" applyNumberFormat="1" applyFont="1" applyFill="1" applyBorder="1" applyAlignment="1">
      <alignment horizontal="right" vertical="center" wrapText="1"/>
    </xf>
    <xf numFmtId="167" fontId="0" fillId="0" borderId="0" xfId="0" applyNumberFormat="1" applyFont="1" applyFill="1" applyBorder="1" applyAlignment="1">
      <alignment horizontal="right" vertical="center" wrapText="1"/>
    </xf>
    <xf numFmtId="0" fontId="31" fillId="18" borderId="0" xfId="0" applyNumberFormat="1" applyFont="1" applyFill="1" applyBorder="1" applyAlignment="1">
      <alignment horizontal="center" vertical="center" wrapText="1"/>
    </xf>
    <xf numFmtId="0" fontId="31" fillId="19" borderId="0" xfId="0" applyNumberFormat="1" applyFont="1" applyFill="1" applyBorder="1" applyAlignment="1">
      <alignment horizontal="center" vertical="center" wrapText="1"/>
    </xf>
    <xf numFmtId="0" fontId="32" fillId="20" borderId="0" xfId="0" applyNumberFormat="1" applyFont="1" applyFill="1" applyBorder="1" applyAlignment="1">
      <alignment horizontal="center" vertical="center" wrapText="1"/>
    </xf>
    <xf numFmtId="0" fontId="22" fillId="0" borderId="1" xfId="0" applyFont="1" applyBorder="1" applyAlignment="1">
      <alignment horizontal="left" vertical="top"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Fill="1" applyBorder="1" applyAlignment="1">
      <alignment horizontal="left" vertical="center" wrapText="1"/>
    </xf>
    <xf numFmtId="0" fontId="10" fillId="0" borderId="7" xfId="0" applyFont="1" applyFill="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2" fillId="4" borderId="0" xfId="0" applyFont="1" applyFill="1" applyAlignment="1">
      <alignment horizontal="center" vertical="center"/>
    </xf>
    <xf numFmtId="0" fontId="11" fillId="2" borderId="1" xfId="0" applyFont="1" applyFill="1" applyBorder="1" applyAlignment="1">
      <alignment horizontal="center" vertical="center"/>
    </xf>
    <xf numFmtId="0" fontId="10" fillId="0" borderId="8" xfId="0" applyFont="1" applyBorder="1" applyAlignment="1">
      <alignment horizontal="center"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20" fillId="7" borderId="1" xfId="0" applyFont="1" applyFill="1" applyBorder="1" applyAlignment="1">
      <alignment horizontal="left" vertical="center" wrapText="1"/>
    </xf>
    <xf numFmtId="0" fontId="8"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0" fillId="0" borderId="2" xfId="0" applyBorder="1" applyAlignment="1">
      <alignment horizontal="left" vertical="top" wrapText="1"/>
    </xf>
    <xf numFmtId="0" fontId="0" fillId="0" borderId="4" xfId="0" applyBorder="1" applyAlignment="1">
      <alignment horizontal="left" vertical="top" wrapText="1"/>
    </xf>
    <xf numFmtId="0" fontId="3" fillId="0" borderId="1" xfId="0" applyNumberFormat="1" applyFont="1" applyFill="1" applyBorder="1" applyAlignment="1">
      <alignment horizontal="left" vertical="center" wrapText="1"/>
    </xf>
    <xf numFmtId="166" fontId="3" fillId="0" borderId="1" xfId="0" applyNumberFormat="1" applyFont="1" applyFill="1" applyBorder="1" applyAlignment="1">
      <alignment horizontal="left" vertical="center" wrapText="1"/>
    </xf>
    <xf numFmtId="44" fontId="26" fillId="14" borderId="6" xfId="0" applyNumberFormat="1" applyFont="1" applyFill="1" applyBorder="1" applyAlignment="1">
      <alignment horizontal="center" vertical="center" wrapText="1"/>
    </xf>
    <xf numFmtId="166" fontId="26" fillId="11" borderId="7" xfId="0" applyNumberFormat="1" applyFont="1" applyFill="1" applyBorder="1" applyAlignment="1">
      <alignment horizontal="center" vertical="center" wrapText="1"/>
    </xf>
    <xf numFmtId="0" fontId="30" fillId="13" borderId="1" xfId="0" applyNumberFormat="1" applyFont="1" applyFill="1" applyBorder="1" applyAlignment="1">
      <alignment horizontal="center" vertical="center" wrapText="1"/>
    </xf>
    <xf numFmtId="0" fontId="26" fillId="14" borderId="1" xfId="0" applyNumberFormat="1" applyFont="1" applyFill="1" applyBorder="1" applyAlignment="1">
      <alignment horizontal="center" vertical="center" wrapText="1"/>
    </xf>
    <xf numFmtId="0" fontId="26" fillId="11" borderId="1" xfId="0" applyNumberFormat="1" applyFont="1" applyFill="1" applyBorder="1" applyAlignment="1">
      <alignment horizontal="center" vertical="center" wrapText="1"/>
    </xf>
    <xf numFmtId="0" fontId="26" fillId="14" borderId="6" xfId="0" applyNumberFormat="1" applyFont="1" applyFill="1" applyBorder="1" applyAlignment="1">
      <alignment horizontal="center" vertical="center" wrapText="1"/>
    </xf>
    <xf numFmtId="0" fontId="26" fillId="11" borderId="7"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0" fontId="15" fillId="0" borderId="0" xfId="0" applyFont="1" applyAlignment="1">
      <alignment horizontal="left" vertical="center" wrapText="1"/>
    </xf>
    <xf numFmtId="0" fontId="30" fillId="13" borderId="2" xfId="0" applyNumberFormat="1" applyFont="1" applyFill="1" applyBorder="1" applyAlignment="1">
      <alignment horizontal="center" vertical="center" wrapText="1"/>
    </xf>
    <xf numFmtId="0" fontId="30" fillId="13" borderId="3" xfId="0" applyNumberFormat="1" applyFont="1" applyFill="1" applyBorder="1" applyAlignment="1">
      <alignment horizontal="center" vertical="center" wrapText="1"/>
    </xf>
    <xf numFmtId="0" fontId="30" fillId="13" borderId="4" xfId="0" applyNumberFormat="1" applyFont="1" applyFill="1" applyBorder="1" applyAlignment="1">
      <alignment horizontal="center" vertical="center" wrapText="1"/>
    </xf>
    <xf numFmtId="0" fontId="4" fillId="14" borderId="2" xfId="0" applyNumberFormat="1" applyFont="1" applyFill="1" applyBorder="1" applyAlignment="1">
      <alignment horizontal="center" vertical="center" wrapText="1"/>
    </xf>
    <xf numFmtId="0" fontId="4" fillId="14" borderId="3" xfId="0" applyNumberFormat="1" applyFont="1" applyFill="1" applyBorder="1" applyAlignment="1">
      <alignment horizontal="center" vertical="center" wrapText="1"/>
    </xf>
    <xf numFmtId="0" fontId="4" fillId="14" borderId="4" xfId="0" applyNumberFormat="1" applyFont="1" applyFill="1" applyBorder="1" applyAlignment="1">
      <alignment horizontal="center" vertical="center" wrapText="1"/>
    </xf>
    <xf numFmtId="0" fontId="4" fillId="3" borderId="2" xfId="0" applyNumberFormat="1" applyFont="1" applyFill="1" applyBorder="1" applyAlignment="1">
      <alignment horizontal="center" vertical="center" wrapText="1"/>
    </xf>
    <xf numFmtId="0" fontId="4" fillId="3" borderId="4"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cellXfs>
  <cellStyles count="4">
    <cellStyle name="Milliers" xfId="2" xr:uid="{00000000-0005-0000-0000-000000000000}"/>
    <cellStyle name="Monétaire" xfId="1" xr:uid="{00000000-0005-0000-0000-000001000000}"/>
    <cellStyle name="Monétaire 2" xfId="3"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34637</xdr:colOff>
      <xdr:row>0</xdr:row>
      <xdr:rowOff>8659</xdr:rowOff>
    </xdr:from>
    <xdr:to>
      <xdr:col>2</xdr:col>
      <xdr:colOff>1463387</xdr:colOff>
      <xdr:row>0</xdr:row>
      <xdr:rowOff>1177636</xdr:rowOff>
    </xdr:to>
    <xdr:pic>
      <xdr:nvPicPr>
        <xdr:cNvPr id="2" name="/xl/media/imag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2229704</xdr:colOff>
      <xdr:row>0</xdr:row>
      <xdr:rowOff>0</xdr:rowOff>
    </xdr:from>
    <xdr:to>
      <xdr:col>2</xdr:col>
      <xdr:colOff>3567551</xdr:colOff>
      <xdr:row>0</xdr:row>
      <xdr:rowOff>1238736</xdr:rowOff>
    </xdr:to>
    <xdr:pic>
      <xdr:nvPicPr>
        <xdr:cNvPr id="3" name="/xl/media/image.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1083945</xdr:colOff>
      <xdr:row>0</xdr:row>
      <xdr:rowOff>817563</xdr:rowOff>
    </xdr:to>
    <xdr:pic>
      <xdr:nvPicPr>
        <xdr:cNvPr id="2" name="/xl/media/image2.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1</xdr:col>
      <xdr:colOff>2763984</xdr:colOff>
      <xdr:row>0</xdr:row>
      <xdr:rowOff>111123</xdr:rowOff>
    </xdr:from>
    <xdr:to>
      <xdr:col>1</xdr:col>
      <xdr:colOff>5468938</xdr:colOff>
      <xdr:row>0</xdr:row>
      <xdr:rowOff>762000</xdr:rowOff>
    </xdr:to>
    <xdr:pic>
      <xdr:nvPicPr>
        <xdr:cNvPr id="3" name="/xl/media/image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D20"/>
  <sheetViews>
    <sheetView tabSelected="1" workbookViewId="0"/>
  </sheetViews>
  <sheetFormatPr baseColWidth="10" defaultRowHeight="12.75" x14ac:dyDescent="0.2"/>
  <cols>
    <col min="1" max="1" width="4" customWidth="1"/>
    <col min="2" max="2" width="52.140625" customWidth="1"/>
    <col min="3" max="4" width="54.42578125" customWidth="1"/>
  </cols>
  <sheetData>
    <row r="1" spans="2:4" ht="99.75" customHeight="1" x14ac:dyDescent="0.2"/>
    <row r="2" spans="2:4" ht="23.25" customHeight="1" x14ac:dyDescent="0.2">
      <c r="B2" s="133" t="s">
        <v>0</v>
      </c>
      <c r="C2" s="133"/>
      <c r="D2" s="133"/>
    </row>
    <row r="3" spans="2:4" ht="15" x14ac:dyDescent="0.2">
      <c r="B3" s="9"/>
      <c r="C3" s="9"/>
      <c r="D3" s="9"/>
    </row>
    <row r="4" spans="2:4" ht="41.25" customHeight="1" x14ac:dyDescent="0.2">
      <c r="B4" s="12" t="s">
        <v>1</v>
      </c>
      <c r="C4" s="134" t="s">
        <v>2</v>
      </c>
      <c r="D4" s="134"/>
    </row>
    <row r="5" spans="2:4" ht="50.25" customHeight="1" x14ac:dyDescent="0.2">
      <c r="B5" s="24" t="s">
        <v>3</v>
      </c>
      <c r="C5" s="129" t="s">
        <v>4</v>
      </c>
      <c r="D5" s="130"/>
    </row>
    <row r="6" spans="2:4" ht="50.25" customHeight="1" x14ac:dyDescent="0.2">
      <c r="B6" s="24" t="s">
        <v>5</v>
      </c>
      <c r="C6" s="131"/>
      <c r="D6" s="132"/>
    </row>
    <row r="7" spans="2:4" ht="33.75" customHeight="1" x14ac:dyDescent="0.2">
      <c r="B7" s="11" t="s">
        <v>6</v>
      </c>
      <c r="C7" s="10" t="s">
        <v>7</v>
      </c>
      <c r="D7" s="125" t="s">
        <v>8</v>
      </c>
    </row>
    <row r="8" spans="2:4" ht="33.75" customHeight="1" x14ac:dyDescent="0.2">
      <c r="B8" s="11" t="s">
        <v>9</v>
      </c>
      <c r="C8" s="10" t="s">
        <v>7</v>
      </c>
      <c r="D8" s="135"/>
    </row>
    <row r="9" spans="2:4" ht="33.75" customHeight="1" x14ac:dyDescent="0.2">
      <c r="B9" s="11" t="s">
        <v>10</v>
      </c>
      <c r="C9" s="10" t="s">
        <v>7</v>
      </c>
      <c r="D9" s="135"/>
    </row>
    <row r="10" spans="2:4" ht="33.75" customHeight="1" x14ac:dyDescent="0.2">
      <c r="B10" s="11" t="s">
        <v>11</v>
      </c>
      <c r="C10" s="10" t="s">
        <v>12</v>
      </c>
      <c r="D10" s="135"/>
    </row>
    <row r="11" spans="2:4" ht="33.75" customHeight="1" x14ac:dyDescent="0.2">
      <c r="B11" s="11" t="s">
        <v>13</v>
      </c>
      <c r="C11" s="10" t="s">
        <v>12</v>
      </c>
      <c r="D11" s="135"/>
    </row>
    <row r="12" spans="2:4" ht="33.75" customHeight="1" x14ac:dyDescent="0.2">
      <c r="B12" s="11" t="s">
        <v>14</v>
      </c>
      <c r="C12" s="10" t="s">
        <v>7</v>
      </c>
      <c r="D12" s="135"/>
    </row>
    <row r="13" spans="2:4" ht="33.75" customHeight="1" x14ac:dyDescent="0.2">
      <c r="B13" s="11" t="s">
        <v>15</v>
      </c>
      <c r="C13" s="10" t="s">
        <v>7</v>
      </c>
      <c r="D13" s="126"/>
    </row>
    <row r="14" spans="2:4" ht="45" customHeight="1" x14ac:dyDescent="0.2">
      <c r="B14" s="11" t="s">
        <v>16</v>
      </c>
      <c r="C14" s="136" t="s">
        <v>17</v>
      </c>
      <c r="D14" s="137"/>
    </row>
    <row r="15" spans="2:4" ht="109.5" customHeight="1" x14ac:dyDescent="0.2">
      <c r="B15" s="127" t="s">
        <v>18</v>
      </c>
      <c r="C15" s="24" t="s">
        <v>19</v>
      </c>
      <c r="D15" s="125" t="s">
        <v>4</v>
      </c>
    </row>
    <row r="16" spans="2:4" ht="109.5" customHeight="1" x14ac:dyDescent="0.2">
      <c r="B16" s="128"/>
      <c r="C16" s="24" t="s">
        <v>20</v>
      </c>
      <c r="D16" s="126"/>
    </row>
    <row r="17" spans="2:4" ht="33.75" customHeight="1" x14ac:dyDescent="0.2">
      <c r="B17" s="11" t="s">
        <v>21</v>
      </c>
      <c r="C17" s="10" t="s">
        <v>7</v>
      </c>
      <c r="D17" s="24"/>
    </row>
    <row r="19" spans="2:4" ht="15.75" x14ac:dyDescent="0.2">
      <c r="B19" s="138" t="s">
        <v>22</v>
      </c>
      <c r="C19" s="138"/>
      <c r="D19" s="138"/>
    </row>
    <row r="20" spans="2:4" ht="57.75" customHeight="1" x14ac:dyDescent="0.2">
      <c r="B20" s="27" t="s">
        <v>23</v>
      </c>
      <c r="C20" s="124" t="s">
        <v>24</v>
      </c>
      <c r="D20" s="124"/>
    </row>
  </sheetData>
  <mergeCells count="9">
    <mergeCell ref="C20:D20"/>
    <mergeCell ref="D15:D16"/>
    <mergeCell ref="B15:B16"/>
    <mergeCell ref="C5:D6"/>
    <mergeCell ref="B2:D2"/>
    <mergeCell ref="C4:D4"/>
    <mergeCell ref="D7:D13"/>
    <mergeCell ref="C14:D14"/>
    <mergeCell ref="B19:D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heetViews>
  <sheetFormatPr baseColWidth="10" defaultRowHeight="12.75" x14ac:dyDescent="0.2"/>
  <cols>
    <col min="1" max="1" width="51.5703125" customWidth="1"/>
    <col min="2" max="2" width="82.5703125" customWidth="1"/>
  </cols>
  <sheetData>
    <row r="1" spans="1:2" ht="66.75" customHeight="1" x14ac:dyDescent="0.2">
      <c r="A1" s="142" t="s">
        <v>62</v>
      </c>
      <c r="B1" s="143"/>
    </row>
    <row r="2" spans="1:2" ht="102" customHeight="1" x14ac:dyDescent="0.2">
      <c r="A2" s="144" t="s">
        <v>63</v>
      </c>
      <c r="B2" s="145"/>
    </row>
    <row r="3" spans="1:2" ht="22.5" customHeight="1" x14ac:dyDescent="0.2">
      <c r="A3" s="44" t="s">
        <v>64</v>
      </c>
      <c r="B3" s="38" t="s">
        <v>65</v>
      </c>
    </row>
    <row r="4" spans="1:2" ht="22.5" customHeight="1" x14ac:dyDescent="0.2">
      <c r="A4" s="44" t="s">
        <v>66</v>
      </c>
      <c r="B4" s="45">
        <v>1473644</v>
      </c>
    </row>
    <row r="5" spans="1:2" ht="22.5" customHeight="1" x14ac:dyDescent="0.2">
      <c r="A5" s="44" t="s">
        <v>67</v>
      </c>
      <c r="B5" s="45">
        <v>1252597.3999999999</v>
      </c>
    </row>
    <row r="6" spans="1:2" ht="22.5" customHeight="1" x14ac:dyDescent="0.2">
      <c r="A6" s="44" t="s">
        <v>68</v>
      </c>
      <c r="B6" s="45">
        <v>221046.6</v>
      </c>
    </row>
    <row r="7" spans="1:2" ht="18" x14ac:dyDescent="0.2">
      <c r="A7" s="5"/>
    </row>
    <row r="8" spans="1:2" ht="190.5" customHeight="1" x14ac:dyDescent="0.2">
      <c r="A8" s="141" t="s">
        <v>25</v>
      </c>
      <c r="B8" s="141"/>
    </row>
    <row r="9" spans="1:2" ht="20.100000000000001" customHeight="1" x14ac:dyDescent="0.2">
      <c r="A9" s="2"/>
      <c r="B9" s="2"/>
    </row>
    <row r="10" spans="1:2" ht="367.5" customHeight="1" x14ac:dyDescent="0.2">
      <c r="A10" s="141" t="s">
        <v>26</v>
      </c>
      <c r="B10" s="141"/>
    </row>
    <row r="11" spans="1:2" ht="20.100000000000001" customHeight="1" x14ac:dyDescent="0.2">
      <c r="A11" s="2"/>
      <c r="B11" s="2"/>
    </row>
    <row r="12" spans="1:2" ht="69" customHeight="1" x14ac:dyDescent="0.2">
      <c r="A12" s="141" t="s">
        <v>27</v>
      </c>
      <c r="B12" s="141"/>
    </row>
    <row r="13" spans="1:2" ht="20.100000000000001" customHeight="1" x14ac:dyDescent="0.2">
      <c r="A13" s="2"/>
      <c r="B13" s="2"/>
    </row>
    <row r="14" spans="1:2" ht="135.75" customHeight="1" x14ac:dyDescent="0.2">
      <c r="A14" s="141" t="s">
        <v>28</v>
      </c>
      <c r="B14" s="141"/>
    </row>
    <row r="15" spans="1:2" ht="20.100000000000001" customHeight="1" x14ac:dyDescent="0.2">
      <c r="A15" s="2"/>
      <c r="B15" s="2"/>
    </row>
    <row r="16" spans="1:2" ht="174" customHeight="1" x14ac:dyDescent="0.2">
      <c r="A16" s="141" t="s">
        <v>29</v>
      </c>
      <c r="B16" s="141"/>
    </row>
    <row r="17" spans="1:2" ht="12.75" customHeight="1" x14ac:dyDescent="0.2">
      <c r="A17" s="2"/>
    </row>
    <row r="18" spans="1:2" ht="53.25" customHeight="1" x14ac:dyDescent="0.2">
      <c r="A18" s="139" t="s">
        <v>30</v>
      </c>
      <c r="B18" s="139"/>
    </row>
    <row r="19" spans="1:2" x14ac:dyDescent="0.2">
      <c r="A19" s="3"/>
    </row>
    <row r="20" spans="1:2" x14ac:dyDescent="0.2">
      <c r="A20" s="3" t="s">
        <v>31</v>
      </c>
    </row>
    <row r="21" spans="1:2" x14ac:dyDescent="0.2">
      <c r="A21" s="3" t="s">
        <v>32</v>
      </c>
    </row>
    <row r="22" spans="1:2" x14ac:dyDescent="0.2">
      <c r="A22" s="3" t="s">
        <v>33</v>
      </c>
    </row>
    <row r="23" spans="1:2" x14ac:dyDescent="0.2">
      <c r="A23" s="3" t="s">
        <v>34</v>
      </c>
    </row>
    <row r="24" spans="1:2" x14ac:dyDescent="0.2">
      <c r="A24" s="3"/>
    </row>
    <row r="25" spans="1:2" x14ac:dyDescent="0.2">
      <c r="A25" s="3"/>
    </row>
    <row r="26" spans="1:2" x14ac:dyDescent="0.2">
      <c r="A26" s="3"/>
    </row>
    <row r="27" spans="1:2" x14ac:dyDescent="0.2">
      <c r="A27" s="3"/>
    </row>
    <row r="28" spans="1:2" x14ac:dyDescent="0.2">
      <c r="A28" s="3"/>
    </row>
    <row r="29" spans="1:2" x14ac:dyDescent="0.2">
      <c r="A29" s="3"/>
    </row>
    <row r="30" spans="1:2" ht="84" customHeight="1" x14ac:dyDescent="0.2">
      <c r="A30" s="140" t="s">
        <v>35</v>
      </c>
      <c r="B30" s="140"/>
    </row>
  </sheetData>
  <mergeCells count="9">
    <mergeCell ref="A18:B18"/>
    <mergeCell ref="A30:B30"/>
    <mergeCell ref="A12:B12"/>
    <mergeCell ref="A1:B1"/>
    <mergeCell ref="A8:B8"/>
    <mergeCell ref="A10:B10"/>
    <mergeCell ref="A14:B14"/>
    <mergeCell ref="A16:B16"/>
    <mergeCell ref="A2:B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workbookViewId="0"/>
  </sheetViews>
  <sheetFormatPr baseColWidth="10" defaultRowHeight="12.75" x14ac:dyDescent="0.2"/>
  <cols>
    <col min="1" max="1" width="24" customWidth="1"/>
    <col min="2" max="2" width="48" customWidth="1"/>
    <col min="3" max="8" width="16" customWidth="1"/>
    <col min="9" max="9" width="45" customWidth="1"/>
  </cols>
  <sheetData>
    <row r="1" spans="1:9" ht="33.950000000000003" customHeight="1" x14ac:dyDescent="0.2">
      <c r="A1" s="84" t="s">
        <v>69</v>
      </c>
      <c r="B1" s="84"/>
      <c r="C1" s="84"/>
      <c r="D1" s="84"/>
      <c r="E1" s="84"/>
      <c r="F1" s="84"/>
      <c r="G1" s="84"/>
      <c r="H1" s="84"/>
      <c r="I1" s="121" t="s">
        <v>70</v>
      </c>
    </row>
    <row r="2" spans="1:9" s="25" customFormat="1" ht="33.950000000000003" customHeight="1" x14ac:dyDescent="0.2">
      <c r="A2" s="85" t="s">
        <v>71</v>
      </c>
      <c r="B2" s="85" t="s">
        <v>72</v>
      </c>
      <c r="C2" s="86" t="s">
        <v>73</v>
      </c>
      <c r="D2" s="86" t="s">
        <v>74</v>
      </c>
      <c r="E2" s="86" t="s">
        <v>75</v>
      </c>
      <c r="F2" s="86" t="s">
        <v>76</v>
      </c>
      <c r="G2" s="86" t="s">
        <v>77</v>
      </c>
      <c r="H2" s="85" t="s">
        <v>78</v>
      </c>
      <c r="I2" s="122" t="s">
        <v>79</v>
      </c>
    </row>
    <row r="3" spans="1:9" ht="33.950000000000003" customHeight="1" x14ac:dyDescent="0.2">
      <c r="A3" s="87"/>
      <c r="B3" s="87"/>
      <c r="C3" s="88" t="s">
        <v>80</v>
      </c>
      <c r="D3" s="88" t="s">
        <v>81</v>
      </c>
      <c r="E3" s="88" t="s">
        <v>82</v>
      </c>
      <c r="F3" s="88" t="s">
        <v>83</v>
      </c>
      <c r="G3" s="88" t="s">
        <v>84</v>
      </c>
      <c r="H3" s="87"/>
      <c r="I3" s="123"/>
    </row>
    <row r="4" spans="1:9" ht="24" customHeight="1" x14ac:dyDescent="0.2">
      <c r="A4" s="99" t="s">
        <v>41</v>
      </c>
      <c r="B4" s="100" t="s">
        <v>85</v>
      </c>
      <c r="C4" s="90">
        <v>197340</v>
      </c>
      <c r="D4" s="90">
        <v>0</v>
      </c>
      <c r="E4" s="90">
        <v>0</v>
      </c>
      <c r="F4" s="90">
        <v>0</v>
      </c>
      <c r="G4" s="90">
        <v>0</v>
      </c>
      <c r="H4" s="91">
        <f>SUM(C4:G4)</f>
        <v>197340</v>
      </c>
      <c r="I4" s="77" t="s">
        <v>86</v>
      </c>
    </row>
    <row r="5" spans="1:9" ht="24" customHeight="1" x14ac:dyDescent="0.2">
      <c r="A5" s="99" t="s">
        <v>41</v>
      </c>
      <c r="B5" s="100" t="s">
        <v>87</v>
      </c>
      <c r="C5" s="90">
        <v>122</v>
      </c>
      <c r="D5" s="90">
        <v>0</v>
      </c>
      <c r="E5" s="90">
        <v>0</v>
      </c>
      <c r="F5" s="90">
        <v>0</v>
      </c>
      <c r="G5" s="90">
        <v>0</v>
      </c>
      <c r="H5" s="91">
        <f t="shared" ref="H5:H14" si="0">SUM(C5:G5)</f>
        <v>122</v>
      </c>
      <c r="I5" s="77" t="s">
        <v>88</v>
      </c>
    </row>
    <row r="6" spans="1:9" ht="24" customHeight="1" x14ac:dyDescent="0.2">
      <c r="A6" s="99" t="s">
        <v>41</v>
      </c>
      <c r="B6" s="100" t="s">
        <v>89</v>
      </c>
      <c r="C6" s="90">
        <v>0</v>
      </c>
      <c r="D6" s="90">
        <v>113256</v>
      </c>
      <c r="E6" s="90">
        <v>0</v>
      </c>
      <c r="F6" s="90">
        <v>0</v>
      </c>
      <c r="G6" s="90">
        <v>0</v>
      </c>
      <c r="H6" s="91">
        <f t="shared" si="0"/>
        <v>113256</v>
      </c>
      <c r="I6" s="77" t="s">
        <v>90</v>
      </c>
    </row>
    <row r="7" spans="1:9" ht="24" customHeight="1" x14ac:dyDescent="0.2">
      <c r="A7" s="99" t="s">
        <v>41</v>
      </c>
      <c r="B7" s="100" t="s">
        <v>91</v>
      </c>
      <c r="C7" s="90">
        <v>0</v>
      </c>
      <c r="D7" s="90">
        <v>0</v>
      </c>
      <c r="E7" s="90">
        <v>95292</v>
      </c>
      <c r="F7" s="90">
        <v>0</v>
      </c>
      <c r="G7" s="90">
        <v>0</v>
      </c>
      <c r="H7" s="91">
        <f t="shared" ref="H7" si="1">SUM(C7:G7)</f>
        <v>95292</v>
      </c>
      <c r="I7" s="77" t="s">
        <v>92</v>
      </c>
    </row>
    <row r="8" spans="1:9" ht="24" customHeight="1" x14ac:dyDescent="0.2">
      <c r="A8" s="99" t="s">
        <v>41</v>
      </c>
      <c r="B8" s="100" t="s">
        <v>93</v>
      </c>
      <c r="C8" s="90">
        <v>0</v>
      </c>
      <c r="D8" s="90">
        <v>0</v>
      </c>
      <c r="E8" s="90">
        <v>65150</v>
      </c>
      <c r="F8" s="90">
        <v>0</v>
      </c>
      <c r="G8" s="90">
        <v>0</v>
      </c>
      <c r="H8" s="91">
        <f t="shared" si="0"/>
        <v>65150</v>
      </c>
      <c r="I8" s="77" t="s">
        <v>94</v>
      </c>
    </row>
    <row r="9" spans="1:9" ht="24" customHeight="1" x14ac:dyDescent="0.2">
      <c r="A9" s="99" t="s">
        <v>41</v>
      </c>
      <c r="B9" s="100" t="s">
        <v>95</v>
      </c>
      <c r="C9" s="90">
        <v>0</v>
      </c>
      <c r="D9" s="90">
        <v>0</v>
      </c>
      <c r="E9" s="90">
        <v>0</v>
      </c>
      <c r="F9" s="90">
        <v>43300</v>
      </c>
      <c r="G9" s="90">
        <v>0</v>
      </c>
      <c r="H9" s="91">
        <f t="shared" si="0"/>
        <v>43300</v>
      </c>
      <c r="I9" s="77" t="s">
        <v>96</v>
      </c>
    </row>
    <row r="10" spans="1:9" ht="24" customHeight="1" x14ac:dyDescent="0.2">
      <c r="A10" s="99" t="s">
        <v>41</v>
      </c>
      <c r="B10" s="100" t="s">
        <v>97</v>
      </c>
      <c r="C10" s="90">
        <v>0</v>
      </c>
      <c r="D10" s="90">
        <v>0</v>
      </c>
      <c r="E10" s="90">
        <v>0</v>
      </c>
      <c r="F10" s="90">
        <v>9540</v>
      </c>
      <c r="G10" s="90">
        <v>0</v>
      </c>
      <c r="H10" s="91">
        <f t="shared" ref="H10" si="2">SUM(C10:G10)</f>
        <v>9540</v>
      </c>
      <c r="I10" s="77" t="s">
        <v>98</v>
      </c>
    </row>
    <row r="11" spans="1:9" ht="32.1" customHeight="1" x14ac:dyDescent="0.2">
      <c r="A11" s="99" t="s">
        <v>99</v>
      </c>
      <c r="B11" s="101" t="s">
        <v>100</v>
      </c>
      <c r="C11" s="90">
        <v>0</v>
      </c>
      <c r="D11" s="90">
        <v>253000</v>
      </c>
      <c r="E11" s="90">
        <v>0</v>
      </c>
      <c r="F11" s="90">
        <v>0</v>
      </c>
      <c r="G11" s="90">
        <v>0</v>
      </c>
      <c r="H11" s="91">
        <f>SUM(C11:G11)</f>
        <v>253000</v>
      </c>
      <c r="I11" s="77" t="s">
        <v>101</v>
      </c>
    </row>
    <row r="12" spans="1:9" ht="32.1" customHeight="1" x14ac:dyDescent="0.2">
      <c r="A12" s="50" t="s">
        <v>102</v>
      </c>
      <c r="B12" s="51" t="s">
        <v>103</v>
      </c>
      <c r="C12" s="92">
        <v>0</v>
      </c>
      <c r="D12" s="92">
        <f t="shared" ref="D12:H12" si="3">SUM(D4:D11)</f>
        <v>366256</v>
      </c>
      <c r="E12" s="92">
        <f t="shared" si="3"/>
        <v>160442</v>
      </c>
      <c r="F12" s="92">
        <f t="shared" si="3"/>
        <v>52840</v>
      </c>
      <c r="G12" s="92">
        <f t="shared" si="3"/>
        <v>0</v>
      </c>
      <c r="H12" s="91">
        <f t="shared" si="3"/>
        <v>777000</v>
      </c>
      <c r="I12" s="77" t="s">
        <v>104</v>
      </c>
    </row>
    <row r="13" spans="1:9" ht="32.1" customHeight="1" x14ac:dyDescent="0.2">
      <c r="A13" s="50" t="s">
        <v>102</v>
      </c>
      <c r="B13" s="51" t="s">
        <v>105</v>
      </c>
      <c r="C13" s="92">
        <v>0</v>
      </c>
      <c r="D13" s="92">
        <v>54000</v>
      </c>
      <c r="E13" s="92">
        <v>0</v>
      </c>
      <c r="F13" s="92">
        <v>0</v>
      </c>
      <c r="G13" s="92">
        <v>0</v>
      </c>
      <c r="H13" s="91">
        <f t="shared" si="0"/>
        <v>54000</v>
      </c>
      <c r="I13" s="77" t="s">
        <v>106</v>
      </c>
    </row>
    <row r="14" spans="1:9" ht="32.1" customHeight="1" x14ac:dyDescent="0.2">
      <c r="A14" s="50" t="s">
        <v>107</v>
      </c>
      <c r="B14" s="51" t="s">
        <v>108</v>
      </c>
      <c r="C14" s="92">
        <v>0</v>
      </c>
      <c r="D14" s="92">
        <f t="shared" ref="D14" si="4">D12+D13</f>
        <v>420256</v>
      </c>
      <c r="E14" s="92">
        <f t="shared" ref="E14:F14" si="5">E12+E13</f>
        <v>160442</v>
      </c>
      <c r="F14" s="92">
        <f t="shared" si="5"/>
        <v>52840</v>
      </c>
      <c r="G14" s="92">
        <f t="shared" ref="G14" si="6">G12+G13</f>
        <v>0</v>
      </c>
      <c r="H14" s="91">
        <f t="shared" si="0"/>
        <v>633538</v>
      </c>
      <c r="I14" s="77" t="s">
        <v>109</v>
      </c>
    </row>
    <row r="15" spans="1:9" ht="32.1" customHeight="1" x14ac:dyDescent="0.2">
      <c r="A15" s="102" t="s">
        <v>99</v>
      </c>
      <c r="B15" s="103" t="s">
        <v>110</v>
      </c>
      <c r="C15" s="111">
        <v>0</v>
      </c>
      <c r="D15" s="111">
        <v>0</v>
      </c>
      <c r="E15" s="111">
        <v>250000</v>
      </c>
      <c r="F15" s="111">
        <v>84000</v>
      </c>
      <c r="G15" s="111">
        <v>0</v>
      </c>
      <c r="H15" s="111">
        <f>SUM(C15:G15)</f>
        <v>334000</v>
      </c>
      <c r="I15" s="77" t="s">
        <v>111</v>
      </c>
    </row>
    <row r="16" spans="1:9" ht="32.1" customHeight="1" x14ac:dyDescent="0.2">
      <c r="A16" s="104" t="s">
        <v>58</v>
      </c>
      <c r="B16" s="105" t="s">
        <v>112</v>
      </c>
      <c r="C16" s="112">
        <v>0</v>
      </c>
      <c r="D16" s="112">
        <v>0</v>
      </c>
      <c r="E16" s="112">
        <v>0</v>
      </c>
      <c r="F16" s="112">
        <v>0</v>
      </c>
      <c r="G16" s="112">
        <v>35000</v>
      </c>
      <c r="H16" s="112">
        <f>SUM(C16:G16)</f>
        <v>35000</v>
      </c>
      <c r="I16" s="106" t="s">
        <v>113</v>
      </c>
    </row>
    <row r="17" spans="1:9" ht="32.1" customHeight="1" x14ac:dyDescent="0.2">
      <c r="A17" s="106" t="s">
        <v>114</v>
      </c>
      <c r="B17" s="106" t="s">
        <v>115</v>
      </c>
      <c r="C17" s="113">
        <v>19746</v>
      </c>
      <c r="D17" s="113">
        <v>77393</v>
      </c>
      <c r="E17" s="113">
        <v>41044</v>
      </c>
      <c r="F17" s="113">
        <v>13684</v>
      </c>
      <c r="G17" s="113">
        <v>3501</v>
      </c>
      <c r="H17" s="113">
        <f>SUM(C17:G17)</f>
        <v>155368</v>
      </c>
      <c r="I17" s="106" t="s">
        <v>116</v>
      </c>
    </row>
    <row r="18" spans="1:9" ht="24" customHeight="1" x14ac:dyDescent="0.2">
      <c r="A18" s="89" t="s">
        <v>117</v>
      </c>
      <c r="B18" s="89"/>
      <c r="C18" s="114">
        <f t="shared" ref="C18:H18" si="7">SUM(C4:C17)</f>
        <v>217208</v>
      </c>
      <c r="D18" s="114">
        <f t="shared" si="7"/>
        <v>1284161</v>
      </c>
      <c r="E18" s="114">
        <f t="shared" si="7"/>
        <v>772370</v>
      </c>
      <c r="F18" s="114">
        <f t="shared" si="7"/>
        <v>256204</v>
      </c>
      <c r="G18" s="114">
        <f t="shared" si="7"/>
        <v>38501</v>
      </c>
      <c r="H18" s="114">
        <f t="shared" si="7"/>
        <v>2765906</v>
      </c>
      <c r="I18" s="107"/>
    </row>
    <row r="19" spans="1:9" ht="24" customHeight="1" x14ac:dyDescent="0.2">
      <c r="A19" s="52" t="s">
        <v>118</v>
      </c>
      <c r="B19" s="52"/>
      <c r="C19" s="115"/>
      <c r="D19" s="115"/>
      <c r="E19" s="115"/>
      <c r="F19" s="115"/>
      <c r="G19" s="115"/>
      <c r="H19" s="115">
        <v>0</v>
      </c>
      <c r="I19" s="77"/>
    </row>
    <row r="20" spans="1:9" ht="24" customHeight="1" x14ac:dyDescent="0.2">
      <c r="A20" s="53" t="s">
        <v>119</v>
      </c>
      <c r="B20" s="53"/>
      <c r="C20" s="116"/>
      <c r="D20" s="116"/>
      <c r="E20" s="116"/>
      <c r="F20" s="116"/>
      <c r="G20" s="116"/>
      <c r="H20" s="116">
        <f>H18+H19</f>
        <v>2765906</v>
      </c>
      <c r="I20" s="108"/>
    </row>
    <row r="21" spans="1:9" ht="24" customHeight="1" x14ac:dyDescent="0.2">
      <c r="A21" s="108"/>
      <c r="B21" s="108"/>
      <c r="C21" s="117"/>
      <c r="D21" s="117"/>
      <c r="E21" s="117"/>
      <c r="F21" s="117"/>
      <c r="G21" s="117"/>
      <c r="H21" s="117"/>
      <c r="I21" s="108"/>
    </row>
    <row r="22" spans="1:9" ht="24" customHeight="1" x14ac:dyDescent="0.2">
      <c r="A22" s="109" t="s">
        <v>120</v>
      </c>
      <c r="B22" s="109"/>
      <c r="C22" s="118"/>
      <c r="D22" s="118"/>
      <c r="E22" s="118"/>
      <c r="F22" s="118"/>
      <c r="G22" s="118"/>
      <c r="H22" s="118"/>
      <c r="I22" s="109"/>
    </row>
    <row r="23" spans="1:9" ht="24" customHeight="1" x14ac:dyDescent="0.2">
      <c r="A23" s="108" t="s">
        <v>121</v>
      </c>
      <c r="B23" s="108"/>
      <c r="C23" s="117"/>
      <c r="D23" s="117"/>
      <c r="E23" s="117"/>
      <c r="F23" s="117"/>
      <c r="G23" s="117"/>
      <c r="H23" s="117">
        <f>H18*85%</f>
        <v>2351020.1</v>
      </c>
      <c r="I23" s="108" t="s">
        <v>122</v>
      </c>
    </row>
    <row r="24" spans="1:9" ht="24" customHeight="1" x14ac:dyDescent="0.2">
      <c r="A24" s="108" t="s">
        <v>123</v>
      </c>
      <c r="B24" s="108"/>
      <c r="C24" s="117"/>
      <c r="D24" s="117"/>
      <c r="E24" s="117"/>
      <c r="F24" s="117"/>
      <c r="G24" s="117"/>
      <c r="H24" s="117">
        <f>H18*15%</f>
        <v>414885.89999999997</v>
      </c>
      <c r="I24" s="108" t="s">
        <v>124</v>
      </c>
    </row>
    <row r="25" spans="1:9" ht="24" customHeight="1" x14ac:dyDescent="0.2">
      <c r="A25" s="110" t="s">
        <v>125</v>
      </c>
      <c r="B25" s="110"/>
      <c r="C25" s="119"/>
      <c r="D25" s="119"/>
      <c r="E25" s="119"/>
      <c r="F25" s="119"/>
      <c r="G25" s="119"/>
      <c r="H25" s="119">
        <v>0</v>
      </c>
      <c r="I25" s="110" t="s">
        <v>126</v>
      </c>
    </row>
    <row r="26" spans="1:9" ht="24" customHeight="1" x14ac:dyDescent="0.2">
      <c r="A26" s="110" t="s">
        <v>127</v>
      </c>
      <c r="B26" s="110"/>
      <c r="C26" s="119"/>
      <c r="D26" s="119"/>
      <c r="E26" s="119"/>
      <c r="F26" s="119"/>
      <c r="G26" s="119"/>
      <c r="H26" s="119">
        <f>SUM(H23:H25)</f>
        <v>2765906</v>
      </c>
      <c r="I26" s="110"/>
    </row>
    <row r="27" spans="1:9" ht="24" customHeight="1" x14ac:dyDescent="0.2">
      <c r="A27" s="110"/>
      <c r="B27" s="110"/>
      <c r="C27" s="119"/>
      <c r="D27" s="119"/>
      <c r="E27" s="119"/>
      <c r="F27" s="119"/>
      <c r="G27" s="119"/>
      <c r="H27" s="119"/>
      <c r="I27" s="110"/>
    </row>
    <row r="28" spans="1:9" ht="24" customHeight="1" x14ac:dyDescent="0.2">
      <c r="A28" s="110" t="s">
        <v>128</v>
      </c>
      <c r="B28" s="110"/>
      <c r="C28" s="119"/>
      <c r="D28" s="119"/>
      <c r="E28" s="119"/>
      <c r="F28" s="119"/>
      <c r="G28" s="119"/>
      <c r="H28" s="119">
        <v>1553676</v>
      </c>
      <c r="I28" s="110" t="s">
        <v>129</v>
      </c>
    </row>
    <row r="29" spans="1:9" ht="24" customHeight="1" x14ac:dyDescent="0.2">
      <c r="A29" s="77" t="s">
        <v>130</v>
      </c>
      <c r="B29" s="77"/>
      <c r="C29" s="120"/>
      <c r="D29" s="120"/>
      <c r="E29" s="120"/>
      <c r="F29" s="120"/>
      <c r="G29" s="120"/>
      <c r="H29" s="120">
        <v>1320624.5999999999</v>
      </c>
      <c r="I29" s="77"/>
    </row>
    <row r="30" spans="1:9" ht="24" customHeight="1" x14ac:dyDescent="0.2">
      <c r="A30" s="77" t="s">
        <v>131</v>
      </c>
      <c r="B30" s="77"/>
      <c r="C30" s="120"/>
      <c r="D30" s="120"/>
      <c r="E30" s="120"/>
      <c r="F30" s="120"/>
      <c r="G30" s="120"/>
      <c r="H30" s="120">
        <v>233051.4</v>
      </c>
      <c r="I30" s="7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workbookViewId="0">
      <selection sqref="A1:I1"/>
    </sheetView>
  </sheetViews>
  <sheetFormatPr baseColWidth="10" defaultRowHeight="12.75" x14ac:dyDescent="0.2"/>
  <cols>
    <col min="1" max="1" width="24" customWidth="1"/>
    <col min="2" max="3" width="28" customWidth="1"/>
    <col min="4" max="4" width="36.42578125" customWidth="1"/>
    <col min="5" max="5" width="14.85546875" style="31" customWidth="1"/>
    <col min="6" max="6" width="38.42578125" customWidth="1"/>
    <col min="7" max="7" width="13.7109375" customWidth="1"/>
    <col min="8" max="8" width="7.28515625" bestFit="1" customWidth="1"/>
    <col min="9" max="9" width="10.5703125" bestFit="1" customWidth="1"/>
  </cols>
  <sheetData>
    <row r="1" spans="1:9" ht="31.9" customHeight="1" x14ac:dyDescent="0.2">
      <c r="A1" s="150" t="s">
        <v>132</v>
      </c>
      <c r="B1" s="150"/>
      <c r="C1" s="150"/>
      <c r="D1" s="150"/>
      <c r="E1" s="150"/>
      <c r="F1" s="150"/>
      <c r="G1" s="150"/>
      <c r="H1" s="150"/>
      <c r="I1" s="150"/>
    </row>
    <row r="2" spans="1:9" ht="31.9" customHeight="1" x14ac:dyDescent="0.2">
      <c r="A2" s="151" t="s">
        <v>133</v>
      </c>
      <c r="B2" s="153" t="s">
        <v>134</v>
      </c>
      <c r="C2" s="151" t="s">
        <v>135</v>
      </c>
      <c r="D2" s="153" t="s">
        <v>136</v>
      </c>
      <c r="E2" s="148" t="s">
        <v>137</v>
      </c>
      <c r="F2" s="151" t="s">
        <v>138</v>
      </c>
      <c r="G2" s="151" t="s">
        <v>139</v>
      </c>
      <c r="H2" s="151" t="s">
        <v>140</v>
      </c>
      <c r="I2" s="153" t="s">
        <v>141</v>
      </c>
    </row>
    <row r="3" spans="1:9" ht="31.9" customHeight="1" x14ac:dyDescent="0.2">
      <c r="A3" s="152" t="s">
        <v>142</v>
      </c>
      <c r="B3" s="154" t="s">
        <v>143</v>
      </c>
      <c r="C3" s="152" t="s">
        <v>144</v>
      </c>
      <c r="D3" s="154" t="s">
        <v>145</v>
      </c>
      <c r="E3" s="149">
        <v>197340</v>
      </c>
      <c r="F3" s="152" t="s">
        <v>146</v>
      </c>
      <c r="G3" s="57" t="s">
        <v>147</v>
      </c>
      <c r="H3" s="57">
        <v>1</v>
      </c>
      <c r="I3" s="149">
        <v>197340</v>
      </c>
    </row>
    <row r="4" spans="1:9" ht="31.9" customHeight="1" x14ac:dyDescent="0.2">
      <c r="A4" s="58" t="s">
        <v>148</v>
      </c>
      <c r="B4" s="47" t="s">
        <v>149</v>
      </c>
      <c r="C4" s="47" t="s">
        <v>150</v>
      </c>
      <c r="D4" s="59" t="s">
        <v>145</v>
      </c>
      <c r="E4" s="48">
        <v>113256</v>
      </c>
      <c r="F4" s="60" t="s">
        <v>146</v>
      </c>
      <c r="G4" s="60" t="s">
        <v>151</v>
      </c>
      <c r="H4" s="61">
        <v>1</v>
      </c>
      <c r="I4" s="55">
        <v>113256</v>
      </c>
    </row>
    <row r="5" spans="1:9" ht="31.9" customHeight="1" x14ac:dyDescent="0.2">
      <c r="A5" s="62" t="s">
        <v>152</v>
      </c>
      <c r="B5" s="47" t="s">
        <v>153</v>
      </c>
      <c r="C5" s="47" t="s">
        <v>154</v>
      </c>
      <c r="D5" s="59" t="s">
        <v>145</v>
      </c>
      <c r="E5" s="48">
        <v>95292</v>
      </c>
      <c r="F5" s="60" t="s">
        <v>146</v>
      </c>
      <c r="G5" s="60" t="s">
        <v>155</v>
      </c>
      <c r="H5" s="63">
        <v>1</v>
      </c>
      <c r="I5" s="55">
        <f t="shared" ref="I5:I8" si="0">H5</f>
        <v>1</v>
      </c>
    </row>
    <row r="6" spans="1:9" ht="36" x14ac:dyDescent="0.2">
      <c r="A6" s="62" t="s">
        <v>148</v>
      </c>
      <c r="B6" s="47" t="s">
        <v>156</v>
      </c>
      <c r="C6" s="47" t="s">
        <v>157</v>
      </c>
      <c r="D6" s="59" t="s">
        <v>158</v>
      </c>
      <c r="E6" s="48">
        <v>65150</v>
      </c>
      <c r="F6" s="60" t="s">
        <v>146</v>
      </c>
      <c r="G6" s="60" t="s">
        <v>155</v>
      </c>
      <c r="H6" s="63">
        <v>1</v>
      </c>
      <c r="I6" s="55">
        <f t="shared" si="0"/>
        <v>1</v>
      </c>
    </row>
    <row r="7" spans="1:9" ht="38.25" x14ac:dyDescent="0.2">
      <c r="A7" s="58" t="s">
        <v>148</v>
      </c>
      <c r="B7" s="58" t="s">
        <v>159</v>
      </c>
      <c r="C7" s="58" t="s">
        <v>160</v>
      </c>
      <c r="D7" s="58" t="s">
        <v>161</v>
      </c>
      <c r="E7" s="54">
        <v>43300</v>
      </c>
      <c r="F7" s="60" t="s">
        <v>146</v>
      </c>
      <c r="G7" s="60" t="s">
        <v>162</v>
      </c>
      <c r="H7" s="63">
        <v>1</v>
      </c>
      <c r="I7" s="55">
        <f t="shared" si="0"/>
        <v>1</v>
      </c>
    </row>
    <row r="8" spans="1:9" ht="31.9" customHeight="1" x14ac:dyDescent="0.2">
      <c r="A8" s="58" t="s">
        <v>148</v>
      </c>
      <c r="B8" s="58" t="s">
        <v>163</v>
      </c>
      <c r="C8" s="58" t="s">
        <v>164</v>
      </c>
      <c r="D8" s="58" t="s">
        <v>165</v>
      </c>
      <c r="E8" s="54">
        <v>9540</v>
      </c>
      <c r="F8" s="64" t="s">
        <v>146</v>
      </c>
      <c r="G8" s="64" t="s">
        <v>162</v>
      </c>
      <c r="H8" s="65">
        <v>1</v>
      </c>
      <c r="I8" s="55">
        <f t="shared" si="0"/>
        <v>1</v>
      </c>
    </row>
    <row r="9" spans="1:9" ht="31.9" customHeight="1" x14ac:dyDescent="0.2">
      <c r="A9" s="146" t="s">
        <v>166</v>
      </c>
      <c r="B9" s="146"/>
      <c r="C9" s="146"/>
      <c r="D9" s="146"/>
      <c r="E9" s="147"/>
      <c r="F9" s="146"/>
      <c r="G9" s="64"/>
      <c r="H9" s="65"/>
      <c r="I9" s="56">
        <v>524000</v>
      </c>
    </row>
    <row r="10" spans="1:9" ht="31.9" customHeight="1" x14ac:dyDescent="0.2">
      <c r="A10" s="146" t="s">
        <v>167</v>
      </c>
      <c r="B10" s="146" t="s">
        <v>168</v>
      </c>
      <c r="C10" s="146"/>
      <c r="D10" s="146"/>
      <c r="E10" s="146"/>
      <c r="F10" s="146"/>
      <c r="G10" s="146"/>
      <c r="H10" s="146"/>
      <c r="I10" s="146"/>
    </row>
  </sheetData>
  <mergeCells count="11">
    <mergeCell ref="A9:F9"/>
    <mergeCell ref="A10:I10"/>
    <mergeCell ref="E2:E3"/>
    <mergeCell ref="A1:I1"/>
    <mergeCell ref="A2:A3"/>
    <mergeCell ref="C2:C3"/>
    <mergeCell ref="F2:F3"/>
    <mergeCell ref="G2:H2"/>
    <mergeCell ref="I2:I3"/>
    <mergeCell ref="D2:D3"/>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
  <sheetViews>
    <sheetView workbookViewId="0"/>
  </sheetViews>
  <sheetFormatPr baseColWidth="10" defaultRowHeight="12.75" x14ac:dyDescent="0.2"/>
  <cols>
    <col min="1" max="1" width="7" style="17" customWidth="1"/>
    <col min="2" max="2" width="48" style="13" customWidth="1"/>
    <col min="3" max="3" width="28" style="2" customWidth="1"/>
    <col min="4" max="4" width="14" customWidth="1"/>
    <col min="5" max="5" width="22" style="1" customWidth="1"/>
    <col min="6" max="6" width="14" customWidth="1"/>
    <col min="7" max="7" width="22" customWidth="1"/>
    <col min="8" max="8" width="14" customWidth="1"/>
    <col min="9" max="9" width="46" customWidth="1"/>
  </cols>
  <sheetData>
    <row r="1" spans="1:9" ht="27.95" customHeight="1" x14ac:dyDescent="0.2">
      <c r="A1" s="98"/>
      <c r="B1" s="93" t="s">
        <v>169</v>
      </c>
      <c r="C1" s="93"/>
      <c r="D1" s="93"/>
      <c r="E1" s="93"/>
      <c r="F1" s="93"/>
      <c r="G1" s="93"/>
      <c r="H1" s="93"/>
      <c r="I1" s="93"/>
    </row>
    <row r="2" spans="1:9" ht="27.95" customHeight="1" x14ac:dyDescent="0.2">
      <c r="A2" s="98"/>
      <c r="B2" s="86" t="s">
        <v>170</v>
      </c>
      <c r="C2" s="86" t="s">
        <v>171</v>
      </c>
      <c r="D2" s="86"/>
      <c r="E2" s="86" t="s">
        <v>172</v>
      </c>
      <c r="F2" s="86"/>
      <c r="G2" s="86" t="s">
        <v>173</v>
      </c>
      <c r="H2" s="86"/>
      <c r="I2" s="86" t="s">
        <v>174</v>
      </c>
    </row>
    <row r="3" spans="1:9" ht="27.95" customHeight="1" x14ac:dyDescent="0.2">
      <c r="A3" s="98"/>
      <c r="B3" s="86"/>
      <c r="C3" s="86" t="s">
        <v>175</v>
      </c>
      <c r="D3" s="86" t="s">
        <v>176</v>
      </c>
      <c r="E3" s="86" t="s">
        <v>175</v>
      </c>
      <c r="F3" s="86" t="s">
        <v>176</v>
      </c>
      <c r="G3" s="86" t="s">
        <v>175</v>
      </c>
      <c r="H3" s="86" t="s">
        <v>176</v>
      </c>
      <c r="I3" s="86"/>
    </row>
    <row r="4" spans="1:9" ht="27.95" customHeight="1" x14ac:dyDescent="0.2">
      <c r="A4" s="78">
        <v>1</v>
      </c>
      <c r="B4" s="66" t="s">
        <v>177</v>
      </c>
      <c r="C4" s="67" t="s">
        <v>178</v>
      </c>
      <c r="D4" s="94">
        <v>253000</v>
      </c>
      <c r="E4" s="66" t="s">
        <v>179</v>
      </c>
      <c r="F4" s="97"/>
      <c r="G4" s="66" t="s">
        <v>179</v>
      </c>
      <c r="H4" s="97"/>
      <c r="I4" s="66" t="s">
        <v>180</v>
      </c>
    </row>
    <row r="5" spans="1:9" ht="27.95" customHeight="1" x14ac:dyDescent="0.2">
      <c r="A5" s="78">
        <v>2</v>
      </c>
      <c r="B5" s="66" t="s">
        <v>181</v>
      </c>
      <c r="C5" s="67" t="s">
        <v>178</v>
      </c>
      <c r="D5" s="95">
        <v>226000</v>
      </c>
      <c r="E5" s="66" t="s">
        <v>179</v>
      </c>
      <c r="F5" s="97"/>
      <c r="G5" s="66" t="s">
        <v>179</v>
      </c>
      <c r="H5" s="97"/>
      <c r="I5" s="66" t="s">
        <v>182</v>
      </c>
    </row>
    <row r="6" spans="1:9" ht="27.95" customHeight="1" x14ac:dyDescent="0.2">
      <c r="A6" s="78">
        <v>3</v>
      </c>
      <c r="B6" s="66" t="s">
        <v>110</v>
      </c>
      <c r="C6" s="67" t="s">
        <v>183</v>
      </c>
      <c r="D6" s="95">
        <v>334000</v>
      </c>
      <c r="E6" s="66" t="s">
        <v>179</v>
      </c>
      <c r="F6" s="97"/>
      <c r="G6" s="66" t="s">
        <v>179</v>
      </c>
      <c r="H6" s="97"/>
      <c r="I6" s="66" t="s">
        <v>184</v>
      </c>
    </row>
    <row r="7" spans="1:9" ht="27.95" customHeight="1" x14ac:dyDescent="0.2">
      <c r="A7" s="78">
        <v>4</v>
      </c>
      <c r="B7" s="66" t="s">
        <v>185</v>
      </c>
      <c r="C7" s="67" t="s">
        <v>186</v>
      </c>
      <c r="D7" s="95">
        <v>54000</v>
      </c>
      <c r="E7" s="66" t="s">
        <v>179</v>
      </c>
      <c r="F7" s="97"/>
      <c r="G7" s="66" t="s">
        <v>179</v>
      </c>
      <c r="H7" s="97"/>
      <c r="I7" s="66" t="s">
        <v>187</v>
      </c>
    </row>
    <row r="8" spans="1:9" ht="27.95" customHeight="1" x14ac:dyDescent="0.2">
      <c r="A8" s="78">
        <v>5</v>
      </c>
      <c r="B8" s="66" t="s">
        <v>108</v>
      </c>
      <c r="C8" s="67" t="s">
        <v>188</v>
      </c>
      <c r="D8" s="96">
        <v>127676</v>
      </c>
      <c r="E8" s="66"/>
      <c r="F8" s="97"/>
      <c r="G8" s="66"/>
      <c r="H8" s="97"/>
      <c r="I8" s="66" t="s">
        <v>189</v>
      </c>
    </row>
    <row r="9" spans="1:9" ht="27.95" customHeight="1" x14ac:dyDescent="0.2">
      <c r="A9" s="78">
        <v>6</v>
      </c>
      <c r="B9" s="66" t="s">
        <v>112</v>
      </c>
      <c r="C9" s="67" t="s">
        <v>190</v>
      </c>
      <c r="D9" s="95">
        <v>35000</v>
      </c>
      <c r="E9" s="66" t="s">
        <v>179</v>
      </c>
      <c r="F9" s="97"/>
      <c r="G9" s="66"/>
      <c r="H9" s="97"/>
      <c r="I9" s="66" t="s">
        <v>191</v>
      </c>
    </row>
    <row r="10" spans="1:9" ht="27.95" customHeight="1" x14ac:dyDescent="0.2">
      <c r="A10" s="78">
        <v>7</v>
      </c>
      <c r="B10" s="66" t="s">
        <v>192</v>
      </c>
      <c r="C10" s="67" t="s">
        <v>193</v>
      </c>
      <c r="D10" s="95">
        <v>0</v>
      </c>
      <c r="E10" s="66"/>
      <c r="F10" s="97"/>
      <c r="G10" s="66"/>
      <c r="H10" s="97"/>
      <c r="I10" s="66" t="s">
        <v>194</v>
      </c>
    </row>
    <row r="11" spans="1:9" ht="27.95" customHeight="1" x14ac:dyDescent="0.2">
      <c r="A11" s="78">
        <v>8</v>
      </c>
      <c r="B11" s="66" t="s">
        <v>195</v>
      </c>
      <c r="C11" s="67" t="s">
        <v>196</v>
      </c>
      <c r="D11" s="95">
        <v>265000</v>
      </c>
      <c r="E11" s="66"/>
      <c r="F11" s="97"/>
      <c r="G11" s="66"/>
      <c r="H11" s="97"/>
      <c r="I11" s="66" t="s">
        <v>197</v>
      </c>
    </row>
    <row r="12" spans="1:9" ht="27.95" customHeight="1" x14ac:dyDescent="0.2">
      <c r="A12" s="78">
        <v>9</v>
      </c>
      <c r="B12" s="66" t="s">
        <v>198</v>
      </c>
      <c r="C12" s="67" t="s">
        <v>199</v>
      </c>
      <c r="D12" s="95">
        <v>155368</v>
      </c>
      <c r="E12" s="66"/>
      <c r="F12" s="97"/>
      <c r="G12" s="66"/>
      <c r="H12" s="97"/>
      <c r="I12" s="66" t="s">
        <v>200</v>
      </c>
    </row>
    <row r="13" spans="1:9" x14ac:dyDescent="0.2">
      <c r="B13" s="42"/>
      <c r="C13" s="16"/>
      <c r="D13" s="41"/>
      <c r="E13" s="7"/>
      <c r="F13" s="7"/>
      <c r="G13" s="7"/>
      <c r="H13" s="7"/>
      <c r="I13" s="8"/>
    </row>
    <row r="14" spans="1:9" x14ac:dyDescent="0.2">
      <c r="B14" s="43"/>
      <c r="C14" s="16"/>
      <c r="D14" s="41"/>
      <c r="E14" s="7"/>
      <c r="F14" s="7"/>
      <c r="G14" s="7"/>
      <c r="H14" s="7"/>
      <c r="I14" s="8"/>
    </row>
    <row r="15" spans="1:9" x14ac:dyDescent="0.2">
      <c r="B15" s="15"/>
      <c r="C15" s="16"/>
      <c r="D15" s="16"/>
      <c r="E15" s="7"/>
      <c r="F15" s="7"/>
      <c r="G15" s="7"/>
      <c r="H15" s="7"/>
      <c r="I15" s="8"/>
    </row>
    <row r="16" spans="1:9" x14ac:dyDescent="0.2">
      <c r="B16" s="15"/>
      <c r="C16" s="16"/>
      <c r="D16" s="16"/>
      <c r="E16" s="7"/>
      <c r="F16" s="7"/>
      <c r="G16" s="7"/>
      <c r="H16" s="7"/>
      <c r="I16" s="8"/>
    </row>
    <row r="17" spans="2:9" x14ac:dyDescent="0.2">
      <c r="B17" s="15"/>
      <c r="C17" s="16"/>
      <c r="D17" s="16"/>
      <c r="E17" s="7"/>
      <c r="F17" s="7"/>
      <c r="G17" s="7"/>
      <c r="H17" s="7"/>
      <c r="I17" s="8"/>
    </row>
    <row r="18" spans="2:9" x14ac:dyDescent="0.2">
      <c r="B18" s="15"/>
      <c r="C18" s="16"/>
      <c r="D18" s="16"/>
      <c r="E18" s="7"/>
      <c r="F18" s="7"/>
      <c r="G18" s="7"/>
      <c r="H18" s="7"/>
      <c r="I18" s="8"/>
    </row>
    <row r="19" spans="2:9" x14ac:dyDescent="0.2">
      <c r="B19" s="15"/>
      <c r="C19" s="16"/>
      <c r="D19" s="16"/>
      <c r="E19" s="7"/>
      <c r="F19" s="7"/>
      <c r="G19" s="7"/>
      <c r="H19" s="7"/>
      <c r="I19" s="8"/>
    </row>
    <row r="20" spans="2:9" x14ac:dyDescent="0.2">
      <c r="B20" s="15"/>
      <c r="C20" s="16"/>
      <c r="D20" s="16"/>
      <c r="E20" s="7"/>
      <c r="F20" s="7"/>
      <c r="G20" s="7"/>
      <c r="H20" s="7"/>
      <c r="I20" s="8"/>
    </row>
    <row r="21" spans="2:9" x14ac:dyDescent="0.2">
      <c r="B21" s="15"/>
      <c r="C21" s="16"/>
      <c r="D21" s="16"/>
      <c r="E21" s="7"/>
      <c r="F21" s="7"/>
      <c r="G21" s="7"/>
      <c r="H21" s="7"/>
      <c r="I21" s="8"/>
    </row>
    <row r="22" spans="2:9" x14ac:dyDescent="0.2">
      <c r="B22" s="15"/>
      <c r="C22" s="16"/>
      <c r="D22" s="16"/>
      <c r="E22" s="7"/>
      <c r="F22" s="7"/>
      <c r="G22" s="7"/>
      <c r="H22" s="7"/>
      <c r="I22" s="8"/>
    </row>
    <row r="23" spans="2:9" x14ac:dyDescent="0.2">
      <c r="B23" s="15"/>
      <c r="C23" s="16"/>
      <c r="D23" s="16"/>
      <c r="E23" s="7"/>
      <c r="F23" s="7"/>
      <c r="G23" s="7"/>
      <c r="H23" s="7"/>
      <c r="I23" s="8"/>
    </row>
    <row r="24" spans="2:9" x14ac:dyDescent="0.2">
      <c r="B24" s="15"/>
      <c r="C24" s="16"/>
      <c r="D24" s="16"/>
      <c r="E24" s="7"/>
      <c r="F24" s="7"/>
      <c r="G24" s="7"/>
      <c r="H24" s="7"/>
      <c r="I24" s="8"/>
    </row>
    <row r="25" spans="2:9" x14ac:dyDescent="0.2">
      <c r="B25" s="15"/>
      <c r="C25" s="16"/>
      <c r="D25" s="16"/>
      <c r="E25" s="7"/>
      <c r="F25" s="7"/>
      <c r="G25" s="7"/>
      <c r="H25" s="7"/>
      <c r="I25" s="8"/>
    </row>
    <row r="26" spans="2:9" x14ac:dyDescent="0.2">
      <c r="B26" s="15"/>
      <c r="C26" s="16"/>
      <c r="D26" s="16"/>
      <c r="E26" s="7"/>
      <c r="F26" s="7"/>
      <c r="G26" s="7"/>
      <c r="H26" s="7"/>
      <c r="I26" s="8"/>
    </row>
    <row r="27" spans="2:9" x14ac:dyDescent="0.2">
      <c r="B27" s="15"/>
      <c r="C27" s="16"/>
      <c r="D27" s="16"/>
      <c r="E27" s="7"/>
      <c r="F27" s="7"/>
      <c r="G27" s="7"/>
      <c r="H27" s="7"/>
      <c r="I27" s="8"/>
    </row>
    <row r="28" spans="2:9" x14ac:dyDescent="0.2">
      <c r="B28" s="15"/>
      <c r="C28" s="16"/>
      <c r="D28" s="16"/>
      <c r="E28" s="7"/>
      <c r="F28" s="7"/>
      <c r="G28" s="7"/>
      <c r="H28" s="7"/>
      <c r="I28" s="8"/>
    </row>
    <row r="29" spans="2:9" x14ac:dyDescent="0.2">
      <c r="B29" s="15"/>
      <c r="C29" s="16"/>
      <c r="D29" s="16"/>
      <c r="E29" s="7"/>
      <c r="F29" s="7"/>
      <c r="G29" s="7"/>
      <c r="H29" s="7"/>
      <c r="I29" s="8"/>
    </row>
    <row r="30" spans="2:9" x14ac:dyDescent="0.2">
      <c r="B30" s="14"/>
      <c r="C30" s="16"/>
      <c r="D30" s="16"/>
      <c r="E30" s="7"/>
      <c r="F30" s="7"/>
      <c r="G30" s="7"/>
      <c r="H30" s="7"/>
      <c r="I30" s="8"/>
    </row>
    <row r="31" spans="2:9" x14ac:dyDescent="0.2">
      <c r="B31" s="15"/>
      <c r="C31" s="16"/>
      <c r="D31" s="16"/>
      <c r="E31" s="7"/>
      <c r="F31" s="7"/>
      <c r="G31" s="7"/>
      <c r="H31" s="7"/>
      <c r="I31" s="8"/>
    </row>
    <row r="32" spans="2:9" x14ac:dyDescent="0.2">
      <c r="B32" s="15"/>
      <c r="C32" s="16"/>
      <c r="D32" s="16"/>
      <c r="E32" s="7"/>
      <c r="F32" s="7"/>
      <c r="G32" s="7"/>
      <c r="H32" s="7"/>
      <c r="I32" s="8"/>
    </row>
    <row r="33" spans="1:9" x14ac:dyDescent="0.2">
      <c r="B33" s="15"/>
      <c r="C33" s="16"/>
      <c r="D33" s="16"/>
      <c r="E33" s="7"/>
      <c r="F33" s="7"/>
      <c r="G33" s="7"/>
      <c r="H33" s="7"/>
      <c r="I33" s="8"/>
    </row>
    <row r="34" spans="1:9" x14ac:dyDescent="0.2">
      <c r="B34" s="19"/>
    </row>
    <row r="35" spans="1:9" s="4" customFormat="1" x14ac:dyDescent="0.2">
      <c r="A35" s="18"/>
      <c r="B35" s="19"/>
      <c r="C35" s="6"/>
      <c r="D35" s="6"/>
      <c r="E35" s="20"/>
      <c r="F35" s="20"/>
      <c r="G35" s="20"/>
      <c r="H35" s="20"/>
    </row>
    <row r="36" spans="1:9" s="4" customFormat="1" x14ac:dyDescent="0.2">
      <c r="A36" s="18"/>
      <c r="B36" s="19"/>
      <c r="C36" s="6"/>
      <c r="D36" s="6"/>
      <c r="E36" s="20"/>
      <c r="F36" s="20"/>
      <c r="G36" s="20"/>
      <c r="H36"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8"/>
  <sheetViews>
    <sheetView workbookViewId="0"/>
  </sheetViews>
  <sheetFormatPr baseColWidth="10" defaultRowHeight="12.75" x14ac:dyDescent="0.2"/>
  <cols>
    <col min="2" max="2" width="132.42578125" customWidth="1"/>
  </cols>
  <sheetData>
    <row r="2" spans="2:2" ht="31.5" x14ac:dyDescent="0.2">
      <c r="B2" s="26" t="s">
        <v>201</v>
      </c>
    </row>
    <row r="5" spans="2:2" ht="15" x14ac:dyDescent="0.2">
      <c r="B5" s="28" t="s">
        <v>202</v>
      </c>
    </row>
    <row r="6" spans="2:2" x14ac:dyDescent="0.2">
      <c r="B6" s="23"/>
    </row>
    <row r="7" spans="2:2" x14ac:dyDescent="0.2">
      <c r="B7" s="23"/>
    </row>
    <row r="8" spans="2:2" ht="18" x14ac:dyDescent="0.25">
      <c r="B8" s="29"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8"/>
  <sheetViews>
    <sheetView workbookViewId="0"/>
  </sheetViews>
  <sheetFormatPr baseColWidth="10" defaultRowHeight="12.75" x14ac:dyDescent="0.2"/>
  <cols>
    <col min="1" max="1" width="3.7109375" customWidth="1"/>
    <col min="2" max="2" width="58" customWidth="1"/>
    <col min="3" max="3" width="62" customWidth="1"/>
    <col min="4" max="5" width="14.140625" style="40" customWidth="1"/>
  </cols>
  <sheetData>
    <row r="1" spans="2:5" ht="32.25" customHeight="1" x14ac:dyDescent="0.2">
      <c r="B1" s="158" t="s">
        <v>203</v>
      </c>
      <c r="C1" s="159"/>
      <c r="D1" s="159"/>
      <c r="E1" s="160"/>
    </row>
    <row r="2" spans="2:5" ht="12.6" customHeight="1" x14ac:dyDescent="0.2">
      <c r="B2" s="68" t="s">
        <v>204</v>
      </c>
      <c r="C2" s="161" t="s">
        <v>205</v>
      </c>
      <c r="D2" s="162"/>
      <c r="E2" s="163"/>
    </row>
    <row r="3" spans="2:5" x14ac:dyDescent="0.2">
      <c r="B3" s="69" t="s">
        <v>206</v>
      </c>
      <c r="C3" s="164" t="s">
        <v>207</v>
      </c>
      <c r="D3" s="165"/>
      <c r="E3" s="70"/>
    </row>
    <row r="4" spans="2:5" ht="38.25" customHeight="1" x14ac:dyDescent="0.2">
      <c r="B4" s="164" t="s">
        <v>208</v>
      </c>
      <c r="C4" s="166" t="s">
        <v>209</v>
      </c>
      <c r="D4" s="166"/>
      <c r="E4" s="165"/>
    </row>
    <row r="5" spans="2:5" x14ac:dyDescent="0.2">
      <c r="B5" s="71" t="s">
        <v>210</v>
      </c>
      <c r="C5" s="155" t="s">
        <v>211</v>
      </c>
      <c r="D5" s="156"/>
      <c r="E5" s="72"/>
    </row>
    <row r="6" spans="2:5" x14ac:dyDescent="0.2">
      <c r="B6" s="71" t="s">
        <v>212</v>
      </c>
      <c r="C6" s="155" t="s">
        <v>213</v>
      </c>
      <c r="D6" s="156"/>
      <c r="E6" s="72"/>
    </row>
    <row r="7" spans="2:5" x14ac:dyDescent="0.2">
      <c r="B7" s="71" t="s">
        <v>214</v>
      </c>
      <c r="C7" s="155" t="s">
        <v>215</v>
      </c>
      <c r="D7" s="156"/>
      <c r="E7" s="72"/>
    </row>
    <row r="8" spans="2:5" x14ac:dyDescent="0.2">
      <c r="B8" s="71" t="s">
        <v>216</v>
      </c>
      <c r="C8" s="155" t="s">
        <v>217</v>
      </c>
      <c r="D8" s="156"/>
      <c r="E8" s="72"/>
    </row>
    <row r="9" spans="2:5" x14ac:dyDescent="0.2">
      <c r="B9" s="71" t="s">
        <v>218</v>
      </c>
      <c r="C9" s="155" t="s">
        <v>219</v>
      </c>
      <c r="D9" s="156"/>
      <c r="E9" s="72"/>
    </row>
    <row r="10" spans="2:5" x14ac:dyDescent="0.2">
      <c r="B10" s="71" t="s">
        <v>220</v>
      </c>
      <c r="C10" s="155" t="s">
        <v>221</v>
      </c>
      <c r="D10" s="156"/>
      <c r="E10" s="72"/>
    </row>
    <row r="11" spans="2:5" ht="25.5" x14ac:dyDescent="0.2">
      <c r="B11" s="71" t="s">
        <v>222</v>
      </c>
      <c r="C11" s="155" t="s">
        <v>223</v>
      </c>
      <c r="D11" s="156"/>
      <c r="E11" s="72"/>
    </row>
    <row r="12" spans="2:5" x14ac:dyDescent="0.2">
      <c r="B12" s="71" t="s">
        <v>224</v>
      </c>
      <c r="C12" s="155" t="s">
        <v>225</v>
      </c>
      <c r="D12" s="156"/>
      <c r="E12" s="72"/>
    </row>
    <row r="13" spans="2:5" ht="45" customHeight="1" x14ac:dyDescent="0.2">
      <c r="B13" s="69" t="s">
        <v>226</v>
      </c>
      <c r="C13" s="70" t="s">
        <v>227</v>
      </c>
      <c r="D13" s="70"/>
      <c r="E13" s="70"/>
    </row>
    <row r="14" spans="2:5" x14ac:dyDescent="0.2">
      <c r="B14" s="73" t="s">
        <v>228</v>
      </c>
      <c r="C14" s="74" t="s">
        <v>229</v>
      </c>
      <c r="D14" s="74"/>
      <c r="E14" s="74"/>
    </row>
    <row r="15" spans="2:5" x14ac:dyDescent="0.2">
      <c r="B15" s="73" t="s">
        <v>230</v>
      </c>
      <c r="C15" s="74" t="s">
        <v>231</v>
      </c>
      <c r="D15" s="74"/>
      <c r="E15" s="74"/>
    </row>
    <row r="16" spans="2:5" x14ac:dyDescent="0.2">
      <c r="B16" s="73" t="s">
        <v>232</v>
      </c>
      <c r="C16" s="74" t="s">
        <v>233</v>
      </c>
      <c r="D16" s="74"/>
      <c r="E16" s="74"/>
    </row>
    <row r="17" spans="2:5" x14ac:dyDescent="0.2">
      <c r="B17" s="73" t="s">
        <v>234</v>
      </c>
      <c r="C17" s="74" t="s">
        <v>235</v>
      </c>
      <c r="D17" s="74"/>
      <c r="E17" s="74"/>
    </row>
    <row r="18" spans="2:5" x14ac:dyDescent="0.2">
      <c r="B18" s="73" t="s">
        <v>236</v>
      </c>
      <c r="C18" s="74" t="s">
        <v>237</v>
      </c>
      <c r="D18" s="74"/>
      <c r="E18" s="74"/>
    </row>
    <row r="19" spans="2:5" ht="25.5" x14ac:dyDescent="0.2">
      <c r="B19" s="73" t="s">
        <v>238</v>
      </c>
      <c r="C19" s="74" t="s">
        <v>239</v>
      </c>
      <c r="D19" s="74"/>
      <c r="E19" s="74"/>
    </row>
    <row r="20" spans="2:5" x14ac:dyDescent="0.2">
      <c r="B20" s="73" t="s">
        <v>240</v>
      </c>
      <c r="C20" s="74" t="s">
        <v>239</v>
      </c>
      <c r="D20" s="74"/>
      <c r="E20" s="74"/>
    </row>
    <row r="21" spans="2:5" x14ac:dyDescent="0.2">
      <c r="B21" s="75" t="s">
        <v>241</v>
      </c>
      <c r="C21" s="74" t="s">
        <v>242</v>
      </c>
      <c r="D21" s="74"/>
      <c r="E21" s="74"/>
    </row>
    <row r="22" spans="2:5" x14ac:dyDescent="0.2">
      <c r="B22" s="21"/>
      <c r="C22" s="39"/>
      <c r="D22" s="39"/>
      <c r="E22" s="39"/>
    </row>
    <row r="23" spans="2:5" x14ac:dyDescent="0.2">
      <c r="B23" s="21"/>
      <c r="C23" s="39"/>
      <c r="D23" s="39"/>
      <c r="E23" s="39"/>
    </row>
    <row r="24" spans="2:5" x14ac:dyDescent="0.2">
      <c r="B24" s="21"/>
      <c r="C24" s="39"/>
      <c r="D24" s="39"/>
      <c r="E24" s="39"/>
    </row>
    <row r="25" spans="2:5" x14ac:dyDescent="0.2">
      <c r="B25" s="21"/>
      <c r="C25" s="39"/>
      <c r="D25" s="39"/>
      <c r="E25" s="39"/>
    </row>
    <row r="26" spans="2:5" x14ac:dyDescent="0.2">
      <c r="B26" s="22"/>
      <c r="C26" s="39"/>
      <c r="D26" s="39"/>
      <c r="E26" s="39"/>
    </row>
    <row r="28" spans="2:5" ht="46.5" customHeight="1" x14ac:dyDescent="0.2">
      <c r="B28" s="157"/>
      <c r="C28" s="157"/>
      <c r="D28" s="157"/>
      <c r="E28" s="157"/>
    </row>
  </sheetData>
  <mergeCells count="13">
    <mergeCell ref="C8:D8"/>
    <mergeCell ref="C9:D9"/>
    <mergeCell ref="B28:E28"/>
    <mergeCell ref="B1:E1"/>
    <mergeCell ref="C2:E2"/>
    <mergeCell ref="C3:D3"/>
    <mergeCell ref="B4:E4"/>
    <mergeCell ref="C11:D11"/>
    <mergeCell ref="C12:D12"/>
    <mergeCell ref="C10:D10"/>
    <mergeCell ref="C5:D5"/>
    <mergeCell ref="C6:D6"/>
    <mergeCell ref="C7:D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26"/>
  <sheetViews>
    <sheetView workbookViewId="0"/>
  </sheetViews>
  <sheetFormatPr baseColWidth="10" defaultRowHeight="12.75" x14ac:dyDescent="0.2"/>
  <sheetData>
    <row r="2" spans="1:1" ht="15" x14ac:dyDescent="0.2">
      <c r="A2" s="30" t="s">
        <v>37</v>
      </c>
    </row>
    <row r="3" spans="1:1" ht="15" x14ac:dyDescent="0.2">
      <c r="A3" s="30" t="s">
        <v>38</v>
      </c>
    </row>
    <row r="4" spans="1:1" ht="15" x14ac:dyDescent="0.2">
      <c r="A4" s="30" t="s">
        <v>39</v>
      </c>
    </row>
    <row r="5" spans="1:1" ht="15" x14ac:dyDescent="0.2">
      <c r="A5" s="30" t="s">
        <v>40</v>
      </c>
    </row>
    <row r="6" spans="1:1" s="33" customFormat="1" ht="15" x14ac:dyDescent="0.2">
      <c r="A6" s="32" t="s">
        <v>41</v>
      </c>
    </row>
    <row r="7" spans="1:1" s="35" customFormat="1" ht="15" x14ac:dyDescent="0.2">
      <c r="A7" s="34" t="s">
        <v>42</v>
      </c>
    </row>
    <row r="8" spans="1:1" ht="15" x14ac:dyDescent="0.2">
      <c r="A8" s="30" t="s">
        <v>43</v>
      </c>
    </row>
    <row r="9" spans="1:1" ht="15" x14ac:dyDescent="0.2">
      <c r="A9" s="30" t="s">
        <v>44</v>
      </c>
    </row>
    <row r="10" spans="1:1" ht="15" x14ac:dyDescent="0.2">
      <c r="A10" s="30" t="s">
        <v>45</v>
      </c>
    </row>
    <row r="11" spans="1:1" ht="15" x14ac:dyDescent="0.2">
      <c r="A11" s="30" t="s">
        <v>46</v>
      </c>
    </row>
    <row r="12" spans="1:1" ht="15" x14ac:dyDescent="0.2">
      <c r="A12" s="30" t="s">
        <v>47</v>
      </c>
    </row>
    <row r="13" spans="1:1" s="37" customFormat="1" ht="15" x14ac:dyDescent="0.2">
      <c r="A13" s="36" t="s">
        <v>48</v>
      </c>
    </row>
    <row r="14" spans="1:1" ht="15" x14ac:dyDescent="0.2">
      <c r="A14" s="30" t="s">
        <v>49</v>
      </c>
    </row>
    <row r="15" spans="1:1" ht="15" x14ac:dyDescent="0.2">
      <c r="A15" s="30" t="s">
        <v>50</v>
      </c>
    </row>
    <row r="16" spans="1:1" ht="15" x14ac:dyDescent="0.2">
      <c r="A16" s="30" t="s">
        <v>51</v>
      </c>
    </row>
    <row r="17" spans="1:1" ht="15" x14ac:dyDescent="0.2">
      <c r="A17" s="30" t="s">
        <v>52</v>
      </c>
    </row>
    <row r="18" spans="1:1" ht="15" x14ac:dyDescent="0.2">
      <c r="A18" s="30" t="s">
        <v>53</v>
      </c>
    </row>
    <row r="19" spans="1:1" ht="15" x14ac:dyDescent="0.2">
      <c r="A19" s="30" t="s">
        <v>54</v>
      </c>
    </row>
    <row r="20" spans="1:1" ht="15" x14ac:dyDescent="0.2">
      <c r="A20" s="30" t="s">
        <v>55</v>
      </c>
    </row>
    <row r="21" spans="1:1" s="37" customFormat="1" ht="15" x14ac:dyDescent="0.2">
      <c r="A21" s="36" t="s">
        <v>56</v>
      </c>
    </row>
    <row r="22" spans="1:1" ht="15" x14ac:dyDescent="0.2">
      <c r="A22" s="30" t="s">
        <v>57</v>
      </c>
    </row>
    <row r="23" spans="1:1" ht="15" x14ac:dyDescent="0.2">
      <c r="A23" s="30" t="s">
        <v>58</v>
      </c>
    </row>
    <row r="24" spans="1:1" s="37" customFormat="1" ht="15" x14ac:dyDescent="0.2">
      <c r="A24" s="36" t="s">
        <v>59</v>
      </c>
    </row>
    <row r="25" spans="1:1" ht="15" x14ac:dyDescent="0.2">
      <c r="A25" s="30" t="s">
        <v>60</v>
      </c>
    </row>
    <row r="26" spans="1:1" s="37" customFormat="1" ht="15" x14ac:dyDescent="0.2">
      <c r="A26" s="36" t="s">
        <v>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
  <sheetViews>
    <sheetView workbookViewId="0"/>
  </sheetViews>
  <sheetFormatPr baseColWidth="10" defaultColWidth="9.140625" defaultRowHeight="12.75" x14ac:dyDescent="0.2"/>
  <cols>
    <col min="1" max="1" width="37.7109375" customWidth="1"/>
    <col min="2" max="2" width="60" customWidth="1"/>
  </cols>
  <sheetData>
    <row r="1" spans="1:8" x14ac:dyDescent="0.2">
      <c r="A1" s="79" t="s">
        <v>243</v>
      </c>
      <c r="B1" s="83"/>
      <c r="C1" s="46"/>
      <c r="D1" s="46"/>
      <c r="E1" s="46"/>
      <c r="F1" s="46"/>
      <c r="G1" s="46"/>
      <c r="H1" s="46"/>
    </row>
    <row r="2" spans="1:8" ht="25.5" x14ac:dyDescent="0.2">
      <c r="A2" s="80" t="s">
        <v>244</v>
      </c>
      <c r="B2" s="49" t="s">
        <v>245</v>
      </c>
    </row>
    <row r="3" spans="1:8" ht="25.5" x14ac:dyDescent="0.2">
      <c r="A3" s="80" t="s">
        <v>246</v>
      </c>
      <c r="B3" s="49" t="s">
        <v>247</v>
      </c>
    </row>
    <row r="4" spans="1:8" x14ac:dyDescent="0.2">
      <c r="A4" s="80" t="s">
        <v>248</v>
      </c>
      <c r="B4" s="76" t="s">
        <v>249</v>
      </c>
    </row>
    <row r="5" spans="1:8" x14ac:dyDescent="0.2">
      <c r="A5" s="80" t="s">
        <v>250</v>
      </c>
      <c r="B5" s="82">
        <v>1709044</v>
      </c>
    </row>
    <row r="6" spans="1:8" x14ac:dyDescent="0.2">
      <c r="A6" s="80" t="s">
        <v>251</v>
      </c>
      <c r="B6" s="82">
        <v>1452687.4</v>
      </c>
    </row>
    <row r="7" spans="1:8" x14ac:dyDescent="0.2">
      <c r="A7" s="80" t="s">
        <v>252</v>
      </c>
      <c r="B7" s="82">
        <v>256356.59999999998</v>
      </c>
    </row>
    <row r="8" spans="1:8" x14ac:dyDescent="0.2">
      <c r="A8" s="80" t="s">
        <v>253</v>
      </c>
      <c r="B8" s="82">
        <v>1553676</v>
      </c>
    </row>
    <row r="9" spans="1:8" ht="25.5" x14ac:dyDescent="0.2">
      <c r="A9" s="80" t="s">
        <v>254</v>
      </c>
      <c r="B9" s="82">
        <v>587000</v>
      </c>
    </row>
    <row r="10" spans="1:8" ht="25.5" x14ac:dyDescent="0.2">
      <c r="A10" s="80" t="s">
        <v>255</v>
      </c>
      <c r="B10" s="49" t="s">
        <v>256</v>
      </c>
    </row>
    <row r="11" spans="1:8" ht="25.5" x14ac:dyDescent="0.2">
      <c r="A11" s="80" t="s">
        <v>257</v>
      </c>
      <c r="B11" s="49" t="s">
        <v>258</v>
      </c>
    </row>
    <row r="12" spans="1:8" ht="25.5" x14ac:dyDescent="0.2">
      <c r="A12" s="81" t="s">
        <v>259</v>
      </c>
      <c r="B12" s="49"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NOTICE</vt:lpstr>
      <vt:lpstr>1.2-Fiche demande INTERREG</vt:lpstr>
      <vt:lpstr>4-Budget prev.</vt:lpstr>
      <vt:lpstr>5-Coûts Personnels DIRECTS</vt:lpstr>
      <vt:lpstr>8-Liste devis</vt:lpstr>
      <vt:lpstr>10-Publicité UE</vt:lpstr>
      <vt:lpstr>11-Pièces à joindre</vt:lpstr>
      <vt:lpstr>Liste</vt:lpstr>
      <vt:lpstr>Synthèse FEDER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MUNIER Patrick</dc:creator>
  <cp:lastModifiedBy>MUNIER Patrick</cp:lastModifiedBy>
  <dcterms:created xsi:type="dcterms:W3CDTF">2026-06-09T10:40:25Z</dcterms:created>
  <dcterms:modified xsi:type="dcterms:W3CDTF">2026-06-09T10:40:25Z</dcterms:modified>
</cp:coreProperties>
</file>